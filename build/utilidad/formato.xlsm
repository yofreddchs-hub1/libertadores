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4\libertadores\public\utilidad\"/>
    </mc:Choice>
  </mc:AlternateContent>
  <xr:revisionPtr revIDLastSave="0" documentId="13_ncr:1_{2EB34032-B560-4096-802C-7F453CB79C45}" xr6:coauthVersionLast="47" xr6:coauthVersionMax="47" xr10:uidLastSave="{00000000-0000-0000-0000-000000000000}"/>
  <bookViews>
    <workbookView xWindow="12390" yWindow="630" windowWidth="16725" windowHeight="14670" xr2:uid="{FD052E50-6F3D-4FF0-ACEB-7588CFE86D59}"/>
  </bookViews>
  <sheets>
    <sheet name="macr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1" i="1" l="1"/>
  <c r="AI11" i="1"/>
  <c r="AH11" i="1"/>
  <c r="AG11" i="1"/>
  <c r="AF11" i="1"/>
  <c r="AE11" i="1"/>
  <c r="AD11" i="1"/>
  <c r="AC11" i="1"/>
  <c r="Z11" i="1"/>
  <c r="Y11" i="1"/>
  <c r="X11" i="1"/>
  <c r="W11" i="1"/>
  <c r="V11" i="1"/>
  <c r="U11" i="1"/>
  <c r="T11" i="1"/>
  <c r="S11" i="1"/>
  <c r="R11" i="1"/>
  <c r="Q11" i="1"/>
  <c r="P11" i="1"/>
  <c r="O11" i="1"/>
  <c r="K11" i="1"/>
  <c r="I11" i="1"/>
  <c r="H11" i="1"/>
  <c r="G11" i="1"/>
  <c r="F11" i="1"/>
  <c r="F10" i="1"/>
</calcChain>
</file>

<file path=xl/sharedStrings.xml><?xml version="1.0" encoding="utf-8"?>
<sst xmlns="http://schemas.openxmlformats.org/spreadsheetml/2006/main" count="266" uniqueCount="75">
  <si>
    <t/>
  </si>
  <si>
    <t>Fecha:</t>
  </si>
  <si>
    <t>U.E. COLEGIO LIBERTADORES DE AMERICA</t>
  </si>
  <si>
    <t>20/03/2024</t>
  </si>
  <si>
    <t>REPORTE</t>
  </si>
  <si>
    <t>DESDE: 20/03/2024 HASTA: 20/03/2024</t>
  </si>
  <si>
    <t>Cédula ó</t>
  </si>
  <si>
    <t>No.</t>
  </si>
  <si>
    <t>Monto Bs.</t>
  </si>
  <si>
    <t>Mensualidad</t>
  </si>
  <si>
    <t>Total por</t>
  </si>
  <si>
    <t>Cédula</t>
  </si>
  <si>
    <t>Factor</t>
  </si>
  <si>
    <t>Total en</t>
  </si>
  <si>
    <t>Formas</t>
  </si>
  <si>
    <t>de</t>
  </si>
  <si>
    <t>Pago</t>
  </si>
  <si>
    <t>Fecha</t>
  </si>
  <si>
    <t>Representante</t>
  </si>
  <si>
    <t>R.I.F.</t>
  </si>
  <si>
    <t>Recibo</t>
  </si>
  <si>
    <t>Factura</t>
  </si>
  <si>
    <t>Abono Aterior</t>
  </si>
  <si>
    <t>Abono</t>
  </si>
  <si>
    <t>Diferido</t>
  </si>
  <si>
    <t>Estudiante</t>
  </si>
  <si>
    <t>Nombres y Apellidos</t>
  </si>
  <si>
    <t>Inscip.</t>
  </si>
  <si>
    <t>Sep</t>
  </si>
  <si>
    <t>Oct</t>
  </si>
  <si>
    <t>Nov</t>
  </si>
  <si>
    <t>Dic</t>
  </si>
  <si>
    <t>Ene</t>
  </si>
  <si>
    <t>Feb</t>
  </si>
  <si>
    <t>Mar</t>
  </si>
  <si>
    <t>Abr</t>
  </si>
  <si>
    <t>May</t>
  </si>
  <si>
    <t>Jun</t>
  </si>
  <si>
    <t>Jul</t>
  </si>
  <si>
    <t>Ago</t>
  </si>
  <si>
    <t>Bs/$</t>
  </si>
  <si>
    <t>Divisa</t>
  </si>
  <si>
    <t>Bs</t>
  </si>
  <si>
    <t>TRF</t>
  </si>
  <si>
    <t>TJD</t>
  </si>
  <si>
    <t>TJC</t>
  </si>
  <si>
    <t>PM</t>
  </si>
  <si>
    <t>$</t>
  </si>
  <si>
    <t>ZLL</t>
  </si>
  <si>
    <t>Referencia</t>
  </si>
  <si>
    <t>NINOZKA DEL VALLE HERNANDEZ MIQUILENA</t>
  </si>
  <si>
    <t>13496108</t>
  </si>
  <si>
    <t>9618</t>
  </si>
  <si>
    <t>??</t>
  </si>
  <si>
    <t>32565050</t>
  </si>
  <si>
    <t>ANTONIETA DEL VALLE CORONADO HERNÁNDEZ</t>
  </si>
  <si>
    <t>Referencia:272329691 
Banco Destino:BANESCO BANCO UNIVERSAL "</t>
  </si>
  <si>
    <t>RAFAEL ANTONIO MASEDA BONALD</t>
  </si>
  <si>
    <t>9924846</t>
  </si>
  <si>
    <t>9617</t>
  </si>
  <si>
    <t>34916186</t>
  </si>
  <si>
    <t>ISABELLA ROSARIO MASEDA PINEDA</t>
  </si>
  <si>
    <t>Referencia:MA60922980A "</t>
  </si>
  <si>
    <t>IRIS ADELINA MOLINA QUERO</t>
  </si>
  <si>
    <t>14028096</t>
  </si>
  <si>
    <t>9616</t>
  </si>
  <si>
    <t>34549188</t>
  </si>
  <si>
    <t>JUAN DIEGO MEDINA MOLINA</t>
  </si>
  <si>
    <t>Referencia:PD30800250CIB52848753E 2305A 5906A  "</t>
  </si>
  <si>
    <t>YSABEL MARIA PRIMERA DE COLINA</t>
  </si>
  <si>
    <t>12788708</t>
  </si>
  <si>
    <t>9619</t>
  </si>
  <si>
    <t>34190319</t>
  </si>
  <si>
    <t>MIGUEL ALEJANDRO COLINA PRIMERA</t>
  </si>
  <si>
    <t>Referencia:41507534 
Banco Destino:BANESCO BANCO UNIVERSAL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</si>
</sst>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Bs.S&quot;#,##0.00"/>
    <numFmt numFmtId="165" formatCode="[$$-540A]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7" xfId="0" applyBorder="1"/>
    <xf numFmtId="0" fontId="0" fillId="0" borderId="4" xfId="0" applyBorder="1"/>
    <xf numFmtId="2" fontId="0" fillId="0" borderId="7" xfId="0" applyNumberFormat="1" applyBorder="1"/>
    <xf numFmtId="2" fontId="0" fillId="0" borderId="4" xfId="0" applyNumberFormat="1" applyBorder="1"/>
    <xf numFmtId="0" fontId="1" fillId="2" borderId="6" xfId="0" applyFont="1" applyFill="1" applyBorder="1" applyAlignment="1">
      <alignment horizontal="center" vertical="center"/>
    </xf>
    <xf numFmtId="164" fontId="0" fillId="0" borderId="9" xfId="0" applyNumberFormat="1" applyBorder="1"/>
    <xf numFmtId="164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E7F9-FB4B-4334-8A3C-DE5631B68447}">
  <sheetPr codeName="Hoja1"/>
  <dimension ref="A1:AK21"/>
  <sheetViews>
    <sheetView tabSelected="1" topLeftCell="AD1" workbookViewId="0">
      <selection activeCell="AJ11" sqref="AJ11"/>
    </sheetView>
  </sheetViews>
  <sheetFormatPr baseColWidth="10" defaultRowHeight="15" x14ac:dyDescent="0.25"/>
  <cols>
    <col min="2" max="2" width="10.7109375" bestFit="1" customWidth="1"/>
    <col min="3" max="3" width="41.140625" bestFit="1" customWidth="1"/>
    <col min="4" max="4" width="11.5703125" bestFit="1" customWidth="1"/>
    <col min="5" max="5" width="9.42578125" bestFit="1" customWidth="1"/>
    <col min="6" max="6" width="13" bestFit="1" customWidth="1"/>
    <col min="7" max="7" width="16" bestFit="1" customWidth="1"/>
    <col min="8" max="8" width="17.85546875" bestFit="1" customWidth="1"/>
    <col min="9" max="9" width="16" bestFit="1" customWidth="1"/>
    <col min="10" max="10" width="10.5703125" bestFit="1" customWidth="1"/>
    <col min="11" max="11" width="16" bestFit="1" customWidth="1"/>
    <col min="12" max="12" width="5.42578125" customWidth="1"/>
    <col min="13" max="13" width="14" bestFit="1" customWidth="1"/>
    <col min="14" max="14" width="43.85546875" bestFit="1" customWidth="1"/>
    <col min="21" max="22" width="11.7109375" bestFit="1" customWidth="1"/>
    <col min="27" max="27" width="9" bestFit="1" customWidth="1"/>
    <col min="30" max="30" width="12.5703125" customWidth="1"/>
    <col min="31" max="31" width="11.7109375" bestFit="1" customWidth="1"/>
    <col min="37" max="37" width="63.140625" bestFit="1" customWidth="1"/>
  </cols>
  <sheetData>
    <row r="1" spans="1:37" x14ac:dyDescent="0.25">
      <c r="B1" t="s">
        <v>1</v>
      </c>
      <c r="C1" s="14" t="s">
        <v>2</v>
      </c>
      <c r="D1" s="14"/>
      <c r="E1" s="14"/>
      <c r="F1" s="14"/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</row>
    <row r="2" spans="1:37" x14ac:dyDescent="0.25">
      <c r="A2" t="s">
        <v>0</v>
      </c>
      <c r="B2" t="s">
        <v>3</v>
      </c>
      <c r="C2" s="14" t="s">
        <v>4</v>
      </c>
      <c r="D2" s="14"/>
      <c r="E2" s="14"/>
      <c r="F2" s="14"/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</row>
    <row r="3" spans="1:37" x14ac:dyDescent="0.25">
      <c r="A3" t="s">
        <v>0</v>
      </c>
      <c r="B3" t="s">
        <v>0</v>
      </c>
      <c r="C3" s="14" t="s">
        <v>5</v>
      </c>
      <c r="D3" s="14"/>
      <c r="E3" s="14"/>
      <c r="F3" s="14"/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</row>
    <row r="4" spans="1:37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</row>
    <row r="5" spans="1:37" ht="18.75" x14ac:dyDescent="0.25">
      <c r="A5" s="1" t="s">
        <v>0</v>
      </c>
      <c r="B5" s="2" t="s">
        <v>0</v>
      </c>
      <c r="C5" s="2" t="s">
        <v>0</v>
      </c>
      <c r="D5" s="2" t="s">
        <v>6</v>
      </c>
      <c r="E5" s="2" t="s">
        <v>7</v>
      </c>
      <c r="F5" s="2" t="s">
        <v>8</v>
      </c>
      <c r="G5" s="2" t="s">
        <v>0</v>
      </c>
      <c r="H5" s="2" t="s">
        <v>9</v>
      </c>
      <c r="I5" s="2" t="s">
        <v>9</v>
      </c>
      <c r="J5" s="2" t="s">
        <v>0</v>
      </c>
      <c r="K5" s="2" t="s">
        <v>10</v>
      </c>
      <c r="L5" s="2" t="s">
        <v>0</v>
      </c>
      <c r="M5" s="2" t="s">
        <v>11</v>
      </c>
      <c r="N5" s="2" t="s">
        <v>0</v>
      </c>
      <c r="O5" s="2" t="s">
        <v>0</v>
      </c>
      <c r="P5" s="2" t="s">
        <v>0</v>
      </c>
      <c r="Q5" s="2" t="s">
        <v>0</v>
      </c>
      <c r="R5" s="2" t="s">
        <v>0</v>
      </c>
      <c r="S5" s="2" t="s">
        <v>0</v>
      </c>
      <c r="T5" s="2" t="s">
        <v>0</v>
      </c>
      <c r="U5" s="2" t="s">
        <v>0</v>
      </c>
      <c r="V5" s="2" t="s">
        <v>0</v>
      </c>
      <c r="W5" s="2" t="s">
        <v>0</v>
      </c>
      <c r="X5" s="2" t="s">
        <v>0</v>
      </c>
      <c r="Y5" s="2" t="s">
        <v>0</v>
      </c>
      <c r="Z5" s="2" t="s">
        <v>0</v>
      </c>
      <c r="AA5" s="2" t="s">
        <v>12</v>
      </c>
      <c r="AB5" s="2" t="s">
        <v>13</v>
      </c>
      <c r="AC5" s="2" t="s">
        <v>0</v>
      </c>
      <c r="AD5" s="2" t="s">
        <v>14</v>
      </c>
      <c r="AE5" s="2" t="s">
        <v>15</v>
      </c>
      <c r="AF5" s="2" t="s">
        <v>16</v>
      </c>
      <c r="AG5" s="2"/>
      <c r="AH5" s="2"/>
      <c r="AI5" s="2"/>
      <c r="AJ5" s="2"/>
      <c r="AK5" s="3"/>
    </row>
    <row r="6" spans="1:37" ht="18.75" x14ac:dyDescent="0.25">
      <c r="A6" s="4" t="s">
        <v>7</v>
      </c>
      <c r="B6" s="15" t="s">
        <v>17</v>
      </c>
      <c r="C6" s="15" t="s">
        <v>18</v>
      </c>
      <c r="D6" s="15" t="s">
        <v>19</v>
      </c>
      <c r="E6" s="15" t="s">
        <v>20</v>
      </c>
      <c r="F6" s="15" t="s">
        <v>21</v>
      </c>
      <c r="G6" s="15" t="s">
        <v>9</v>
      </c>
      <c r="H6" s="15" t="s">
        <v>22</v>
      </c>
      <c r="I6" s="15" t="s">
        <v>23</v>
      </c>
      <c r="J6" s="15" t="s">
        <v>24</v>
      </c>
      <c r="K6" s="15" t="s">
        <v>9</v>
      </c>
      <c r="L6" s="15" t="s">
        <v>0</v>
      </c>
      <c r="M6" s="15" t="s">
        <v>25</v>
      </c>
      <c r="N6" s="15" t="s">
        <v>26</v>
      </c>
      <c r="O6" s="15" t="s">
        <v>27</v>
      </c>
      <c r="P6" s="15" t="s">
        <v>28</v>
      </c>
      <c r="Q6" s="15" t="s">
        <v>29</v>
      </c>
      <c r="R6" s="15" t="s">
        <v>30</v>
      </c>
      <c r="S6" s="15" t="s">
        <v>31</v>
      </c>
      <c r="T6" s="15" t="s">
        <v>32</v>
      </c>
      <c r="U6" s="15" t="s">
        <v>33</v>
      </c>
      <c r="V6" s="15" t="s">
        <v>34</v>
      </c>
      <c r="W6" s="15" t="s">
        <v>35</v>
      </c>
      <c r="X6" s="15" t="s">
        <v>36</v>
      </c>
      <c r="Y6" s="15" t="s">
        <v>37</v>
      </c>
      <c r="Z6" s="15" t="s">
        <v>38</v>
      </c>
      <c r="AA6" s="15" t="s">
        <v>39</v>
      </c>
      <c r="AB6" s="15" t="s">
        <v>40</v>
      </c>
      <c r="AC6" s="15" t="s">
        <v>41</v>
      </c>
      <c r="AD6" s="15" t="s">
        <v>42</v>
      </c>
      <c r="AE6" s="15" t="s">
        <v>43</v>
      </c>
      <c r="AF6" s="15" t="s">
        <v>44</v>
      </c>
      <c r="AG6" s="15" t="s">
        <v>45</v>
      </c>
      <c r="AH6" s="15" t="s">
        <v>46</v>
      </c>
      <c r="AI6" s="15" t="s">
        <v>47</v>
      </c>
      <c r="AJ6" s="15" t="s">
        <v>48</v>
      </c>
      <c r="AK6" s="9" t="s">
        <v>49</v>
      </c>
    </row>
    <row r="7" spans="1:37" x14ac:dyDescent="0.25">
      <c r="A7" s="6">
        <v>1</v>
      </c>
      <c r="B7" s="6" t="s">
        <v>3</v>
      </c>
      <c r="C7" s="6" t="s">
        <v>69</v>
      </c>
      <c r="D7" s="6" t="s">
        <v>70</v>
      </c>
      <c r="E7" s="6" t="s">
        <v>71</v>
      </c>
      <c r="F7" s="8">
        <v>1451.6</v>
      </c>
      <c r="G7" s="8">
        <v>1451.6</v>
      </c>
      <c r="H7" s="6">
        <v>0</v>
      </c>
      <c r="I7" s="6">
        <v>0</v>
      </c>
      <c r="J7" s="6" t="s">
        <v>53</v>
      </c>
      <c r="K7" s="8">
        <v>1451.6</v>
      </c>
      <c r="L7" s="6" t="s">
        <v>53</v>
      </c>
      <c r="M7" s="6" t="s">
        <v>72</v>
      </c>
      <c r="N7" s="6" t="s">
        <v>73</v>
      </c>
      <c r="O7" s="6" t="s">
        <v>0</v>
      </c>
      <c r="P7" s="6" t="s">
        <v>0</v>
      </c>
      <c r="Q7" s="6" t="s">
        <v>0</v>
      </c>
      <c r="R7" s="6" t="s">
        <v>0</v>
      </c>
      <c r="S7" s="6" t="s">
        <v>0</v>
      </c>
      <c r="T7" s="6" t="s">
        <v>0</v>
      </c>
      <c r="U7" s="8">
        <v>1451.6</v>
      </c>
      <c r="V7" s="6" t="s">
        <v>0</v>
      </c>
      <c r="W7" s="6" t="s">
        <v>0</v>
      </c>
      <c r="X7" s="6" t="s">
        <v>0</v>
      </c>
      <c r="Y7" s="6" t="s">
        <v>0</v>
      </c>
      <c r="Z7" s="6" t="s">
        <v>0</v>
      </c>
      <c r="AA7" s="6" t="s">
        <v>0</v>
      </c>
      <c r="AB7" s="8">
        <v>36.29</v>
      </c>
      <c r="AC7" s="8">
        <v>0</v>
      </c>
      <c r="AD7" s="6">
        <v>0</v>
      </c>
      <c r="AE7" s="8">
        <v>1451.6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 t="s">
        <v>74</v>
      </c>
    </row>
    <row r="8" spans="1:37" x14ac:dyDescent="0.25">
      <c r="A8" s="6">
        <v>2</v>
      </c>
      <c r="B8" s="6" t="s">
        <v>3</v>
      </c>
      <c r="C8" s="6" t="s">
        <v>50</v>
      </c>
      <c r="D8" s="6" t="s">
        <v>51</v>
      </c>
      <c r="E8" s="6" t="s">
        <v>52</v>
      </c>
      <c r="F8" s="8">
        <v>1447.6</v>
      </c>
      <c r="G8" s="8">
        <v>1474.6000000000001</v>
      </c>
      <c r="H8" s="8">
        <v>-27</v>
      </c>
      <c r="I8" s="6">
        <v>0</v>
      </c>
      <c r="J8" s="6" t="s">
        <v>53</v>
      </c>
      <c r="K8" s="8">
        <v>1447.6000000000001</v>
      </c>
      <c r="L8" s="6" t="s">
        <v>53</v>
      </c>
      <c r="M8" s="6" t="s">
        <v>54</v>
      </c>
      <c r="N8" s="6" t="s">
        <v>55</v>
      </c>
      <c r="O8" s="6" t="s">
        <v>0</v>
      </c>
      <c r="P8" s="6" t="s">
        <v>0</v>
      </c>
      <c r="Q8" s="6" t="s">
        <v>0</v>
      </c>
      <c r="R8" s="6" t="s">
        <v>0</v>
      </c>
      <c r="S8" s="6" t="s">
        <v>0</v>
      </c>
      <c r="T8" s="6" t="s">
        <v>0</v>
      </c>
      <c r="U8" s="8">
        <v>1474.6000000000001</v>
      </c>
      <c r="V8" s="6" t="s">
        <v>0</v>
      </c>
      <c r="W8" s="6" t="s">
        <v>0</v>
      </c>
      <c r="X8" s="6" t="s">
        <v>0</v>
      </c>
      <c r="Y8" s="6" t="s">
        <v>0</v>
      </c>
      <c r="Z8" s="6" t="s">
        <v>0</v>
      </c>
      <c r="AA8" s="6" t="s">
        <v>0</v>
      </c>
      <c r="AB8" s="8">
        <v>36.865000000000002</v>
      </c>
      <c r="AC8" s="8">
        <v>0</v>
      </c>
      <c r="AD8" s="6">
        <v>0</v>
      </c>
      <c r="AE8" s="6">
        <v>0</v>
      </c>
      <c r="AF8" s="6">
        <v>0</v>
      </c>
      <c r="AG8" s="6">
        <v>0</v>
      </c>
      <c r="AH8" s="8">
        <v>722.6</v>
      </c>
      <c r="AI8" s="6">
        <v>0</v>
      </c>
      <c r="AJ8" s="6">
        <v>0</v>
      </c>
      <c r="AK8" s="6" t="s">
        <v>56</v>
      </c>
    </row>
    <row r="9" spans="1:37" x14ac:dyDescent="0.25">
      <c r="A9" s="6">
        <v>3</v>
      </c>
      <c r="B9" s="6" t="s">
        <v>3</v>
      </c>
      <c r="C9" s="6" t="s">
        <v>57</v>
      </c>
      <c r="D9" s="6" t="s">
        <v>58</v>
      </c>
      <c r="E9" s="6" t="s">
        <v>59</v>
      </c>
      <c r="F9" s="8">
        <v>2901.2240000000002</v>
      </c>
      <c r="G9" s="8">
        <v>2901.2240000000002</v>
      </c>
      <c r="H9" s="6">
        <v>0</v>
      </c>
      <c r="I9" s="6">
        <v>0</v>
      </c>
      <c r="J9" s="6" t="s">
        <v>53</v>
      </c>
      <c r="K9" s="8">
        <v>2901.2240000000002</v>
      </c>
      <c r="L9" s="6" t="s">
        <v>53</v>
      </c>
      <c r="M9" s="6" t="s">
        <v>60</v>
      </c>
      <c r="N9" s="6" t="s">
        <v>61</v>
      </c>
      <c r="O9" s="6" t="s">
        <v>0</v>
      </c>
      <c r="P9" s="6" t="s">
        <v>0</v>
      </c>
      <c r="Q9" s="6" t="s">
        <v>0</v>
      </c>
      <c r="R9" s="6" t="s">
        <v>0</v>
      </c>
      <c r="S9" s="6" t="s">
        <v>0</v>
      </c>
      <c r="T9" s="6" t="s">
        <v>0</v>
      </c>
      <c r="U9" s="8">
        <v>1450.6120000000001</v>
      </c>
      <c r="V9" s="8">
        <v>1450.6120000000001</v>
      </c>
      <c r="W9" s="6" t="s">
        <v>0</v>
      </c>
      <c r="X9" s="6" t="s">
        <v>0</v>
      </c>
      <c r="Y9" s="6" t="s">
        <v>0</v>
      </c>
      <c r="Z9" s="6" t="s">
        <v>0</v>
      </c>
      <c r="AA9" s="6" t="s">
        <v>0</v>
      </c>
      <c r="AB9" s="8">
        <v>36.265300000000003</v>
      </c>
      <c r="AC9" s="8">
        <v>80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8">
        <v>80</v>
      </c>
      <c r="AJ9" s="6">
        <v>0</v>
      </c>
      <c r="AK9" s="6" t="s">
        <v>62</v>
      </c>
    </row>
    <row r="10" spans="1:37" ht="15.75" thickBot="1" x14ac:dyDescent="0.3">
      <c r="A10" s="6">
        <v>4</v>
      </c>
      <c r="B10" s="6" t="s">
        <v>3</v>
      </c>
      <c r="C10" s="6" t="s">
        <v>63</v>
      </c>
      <c r="D10" s="6" t="s">
        <v>64</v>
      </c>
      <c r="E10" s="6" t="s">
        <v>65</v>
      </c>
      <c r="F10" s="7">
        <f>SUM(F6:F9)</f>
        <v>5800.424</v>
      </c>
      <c r="G10" s="7">
        <v>2901.2240000000002</v>
      </c>
      <c r="H10" s="7">
        <v>-6.0000000000000001E-3</v>
      </c>
      <c r="I10" s="7">
        <v>0</v>
      </c>
      <c r="J10" s="6" t="s">
        <v>53</v>
      </c>
      <c r="K10" s="7">
        <v>2901.2180000000003</v>
      </c>
      <c r="L10" s="6" t="s">
        <v>53</v>
      </c>
      <c r="M10" s="6" t="s">
        <v>66</v>
      </c>
      <c r="N10" s="6" t="s">
        <v>67</v>
      </c>
      <c r="O10" s="5" t="s">
        <v>0</v>
      </c>
      <c r="P10" s="5" t="s">
        <v>0</v>
      </c>
      <c r="Q10" s="5" t="s">
        <v>0</v>
      </c>
      <c r="R10" s="5" t="s">
        <v>0</v>
      </c>
      <c r="S10" s="5" t="s">
        <v>0</v>
      </c>
      <c r="T10" s="5" t="s">
        <v>0</v>
      </c>
      <c r="U10" s="5" t="s">
        <v>0</v>
      </c>
      <c r="V10" s="7">
        <v>1450.6120000000001</v>
      </c>
      <c r="W10" s="5" t="s">
        <v>0</v>
      </c>
      <c r="X10" s="5" t="s">
        <v>0</v>
      </c>
      <c r="Y10" s="5" t="s">
        <v>0</v>
      </c>
      <c r="Z10" s="5" t="s">
        <v>0</v>
      </c>
      <c r="AA10" s="6" t="s">
        <v>0</v>
      </c>
      <c r="AB10" s="8">
        <v>36.265300000000003</v>
      </c>
      <c r="AC10" s="7">
        <v>80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7">
        <v>80</v>
      </c>
      <c r="AJ10" s="5">
        <v>0</v>
      </c>
      <c r="AK10" s="6" t="s">
        <v>68</v>
      </c>
    </row>
    <row r="11" spans="1:37" ht="15.75" thickBot="1" x14ac:dyDescent="0.3">
      <c r="F11" s="10">
        <f>SUM(F7:F10)</f>
        <v>11600.848</v>
      </c>
      <c r="G11" s="10">
        <f>SUM(G7:G10)</f>
        <v>8728.648000000001</v>
      </c>
      <c r="H11" s="10">
        <f>SUM(H7:H10)</f>
        <v>-27.006</v>
      </c>
      <c r="I11" s="11">
        <f>SUM(I7:I10)</f>
        <v>0</v>
      </c>
      <c r="K11" s="11">
        <f>SUM(K7:K10)</f>
        <v>8701.6419999999998</v>
      </c>
      <c r="O11" s="10">
        <f>SUM(O7:O10)</f>
        <v>0</v>
      </c>
      <c r="P11" s="10">
        <f>SUM(P7:P10)</f>
        <v>0</v>
      </c>
      <c r="Q11" s="10">
        <f>SUM(Q7:Q10)</f>
        <v>0</v>
      </c>
      <c r="R11" s="10">
        <f>SUM(R7:R10)</f>
        <v>0</v>
      </c>
      <c r="S11" s="10">
        <f>SUM(S7:S10)</f>
        <v>0</v>
      </c>
      <c r="T11" s="10">
        <f>SUM(T7:T10)</f>
        <v>0</v>
      </c>
      <c r="U11" s="10">
        <f>SUM(U7:U10)</f>
        <v>4376.8119999999999</v>
      </c>
      <c r="V11" s="10">
        <f>SUM(V7:V10)</f>
        <v>2901.2240000000002</v>
      </c>
      <c r="W11" s="10">
        <f>SUM(W7:W10)</f>
        <v>0</v>
      </c>
      <c r="X11" s="10">
        <f>SUM(X7:X10)</f>
        <v>0</v>
      </c>
      <c r="Y11" s="10">
        <f>SUM(Y7:Y10)</f>
        <v>0</v>
      </c>
      <c r="Z11" s="11">
        <f>SUM(Z7:Z10)</f>
        <v>0</v>
      </c>
      <c r="AC11" s="13">
        <f>SUM(AC7:AC10)</f>
        <v>160</v>
      </c>
      <c r="AD11" s="10">
        <f>SUM(AD7:AD10)</f>
        <v>0</v>
      </c>
      <c r="AE11" s="10">
        <f>SUM(AE7:AE10)</f>
        <v>1451.6</v>
      </c>
      <c r="AF11" s="10">
        <f>SUM(AF7:AF10)</f>
        <v>0</v>
      </c>
      <c r="AG11" s="10">
        <f>SUM(AG7:AG10)</f>
        <v>0</v>
      </c>
      <c r="AH11" s="10">
        <f>SUM(AH7:AH10)</f>
        <v>722.6</v>
      </c>
      <c r="AI11" s="13">
        <f>SUM(AI7:AI10)</f>
        <v>160</v>
      </c>
      <c r="AJ11" s="12">
        <f>SUM(AJ7:AJ10)</f>
        <v>0</v>
      </c>
    </row>
    <row r="17" ht="6" customHeight="1" x14ac:dyDescent="0.25"/>
    <row r="18" hidden="1" x14ac:dyDescent="0.25"/>
    <row r="19" hidden="1" x14ac:dyDescent="0.25"/>
    <row r="20" hidden="1" x14ac:dyDescent="0.25"/>
    <row r="21" hidden="1" x14ac:dyDescent="0.25"/>
  </sheetData>
  <mergeCells count="3">
    <mergeCell ref="C1:F1"/>
    <mergeCell ref="C3:F3"/>
    <mergeCell ref="C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dcterms:created xsi:type="dcterms:W3CDTF">2024-03-19T13:56:39Z</dcterms:created>
  <dcterms:modified xsi:type="dcterms:W3CDTF">2024-03-20T20:14:18Z</dcterms:modified>
</cp:coreProperties>
</file>