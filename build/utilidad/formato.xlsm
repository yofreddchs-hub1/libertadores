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igos\2024\libertadores\public\utilidad\"/>
    </mc:Choice>
  </mc:AlternateContent>
  <xr:revisionPtr revIDLastSave="0" documentId="13_ncr:1_{0D72BC0D-8C47-40D2-AC64-0419A71251B8}" xr6:coauthVersionLast="47" xr6:coauthVersionMax="47" xr10:uidLastSave="{00000000-0000-0000-0000-000000000000}"/>
  <bookViews>
    <workbookView xWindow="11055" yWindow="885" windowWidth="16725" windowHeight="14670" xr2:uid="{FD052E50-6F3D-4FF0-ACEB-7588CFE86D59}"/>
  </bookViews>
  <sheets>
    <sheet name="macro" sheetId="1" r:id="rId1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J29" i="1" l="1"/>
  <c r="AI29" i="1"/>
  <c r="AH29" i="1"/>
  <c r="AG29" i="1"/>
  <c r="AF29" i="1"/>
  <c r="AE29" i="1"/>
  <c r="AD29" i="1"/>
  <c r="AC29" i="1"/>
  <c r="Z29" i="1"/>
  <c r="Y29" i="1"/>
  <c r="X29" i="1"/>
  <c r="W29" i="1"/>
  <c r="V29" i="1"/>
  <c r="U29" i="1"/>
  <c r="T29" i="1"/>
  <c r="S29" i="1"/>
  <c r="R29" i="1"/>
  <c r="Q29" i="1"/>
  <c r="P29" i="1"/>
  <c r="O29" i="1"/>
  <c r="K29" i="1"/>
  <c r="I29" i="1"/>
  <c r="H29" i="1"/>
  <c r="G29" i="1"/>
  <c r="F29" i="1"/>
</calcChain>
</file>

<file path=xl/sharedStrings.xml><?xml version="1.0" encoding="utf-8"?>
<sst xmlns="http://schemas.openxmlformats.org/spreadsheetml/2006/main" count="637" uniqueCount="179">
  <si>
    <t/>
  </si>
  <si>
    <t>Fecha:</t>
  </si>
  <si>
    <t>U.E. COLEGIO LIBERTADORES DE AMERICA</t>
  </si>
  <si>
    <t>20/03/2024</t>
  </si>
  <si>
    <t>REPORTE</t>
  </si>
  <si>
    <t>DESDE: 20/03/2024 HASTA: 20/03/2024</t>
  </si>
  <si>
    <t>Cédula ó</t>
  </si>
  <si>
    <t>No.</t>
  </si>
  <si>
    <t>Monto Bs.</t>
  </si>
  <si>
    <t>Mensualidad</t>
  </si>
  <si>
    <t>Total por</t>
  </si>
  <si>
    <t>Cédula</t>
  </si>
  <si>
    <t>Factor</t>
  </si>
  <si>
    <t>Total en</t>
  </si>
  <si>
    <t>Formas</t>
  </si>
  <si>
    <t>de</t>
  </si>
  <si>
    <t>Pago</t>
  </si>
  <si>
    <t>Fecha</t>
  </si>
  <si>
    <t>Representante</t>
  </si>
  <si>
    <t>R.I.F.</t>
  </si>
  <si>
    <t>Recibo</t>
  </si>
  <si>
    <t>Factura</t>
  </si>
  <si>
    <t>Abono Aterior</t>
  </si>
  <si>
    <t>Abono</t>
  </si>
  <si>
    <t>Diferido</t>
  </si>
  <si>
    <t>Estudiante</t>
  </si>
  <si>
    <t>Nombres y Apellidos</t>
  </si>
  <si>
    <t>Inscip.</t>
  </si>
  <si>
    <t>Sep</t>
  </si>
  <si>
    <t>Oct</t>
  </si>
  <si>
    <t>Nov</t>
  </si>
  <si>
    <t>Dic</t>
  </si>
  <si>
    <t>Ene</t>
  </si>
  <si>
    <t>Feb</t>
  </si>
  <si>
    <t>Mar</t>
  </si>
  <si>
    <t>Abr</t>
  </si>
  <si>
    <t>May</t>
  </si>
  <si>
    <t>Jun</t>
  </si>
  <si>
    <t>Jul</t>
  </si>
  <si>
    <t>Ago</t>
  </si>
  <si>
    <t>Bs/$</t>
  </si>
  <si>
    <t>Divisa</t>
  </si>
  <si>
    <t>Bs</t>
  </si>
  <si>
    <t>TRF</t>
  </si>
  <si>
    <t>TJD</t>
  </si>
  <si>
    <t>TJC</t>
  </si>
  <si>
    <t>PM</t>
  </si>
  <si>
    <t>$</t>
  </si>
  <si>
    <t>ZLL</t>
  </si>
  <si>
    <t>Referencia</t>
  </si>
  <si>
    <t>NINOZKA DEL VALLE HERNANDEZ MIQUILENA</t>
  </si>
  <si>
    <t>13496108</t>
  </si>
  <si>
    <t>9618</t>
  </si>
  <si>
    <t>??</t>
  </si>
  <si>
    <t>32565050</t>
  </si>
  <si>
    <t>ANTONIETA DEL VALLE CORONADO HERNÁNDEZ</t>
  </si>
  <si>
    <t>Referencia:272329691 
Banco Destino:BANESCO BANCO UNIVERSAL "</t>
  </si>
  <si>
    <t>RAFAEL ANTONIO MASEDA BONALD</t>
  </si>
  <si>
    <t>9924846</t>
  </si>
  <si>
    <t>9617</t>
  </si>
  <si>
    <t>34916186</t>
  </si>
  <si>
    <t>ISABELLA ROSARIO MASEDA PINEDA</t>
  </si>
  <si>
    <t>Referencia:MA60922980A "</t>
  </si>
  <si>
    <t>YSABEL MARIA PRIMERA DE COLINA</t>
  </si>
  <si>
    <t>12788708</t>
  </si>
  <si>
    <t>9619</t>
  </si>
  <si>
    <t>34190319</t>
  </si>
  <si>
    <t>MIGUEL ALEJANDRO COLINA PRIMERA</t>
  </si>
  <si>
    <t>Referencia:41507534 
Banco Destino:BANESCO BANCO UNIVERSAL "</t>
  </si>
  <si>
    <t>IRIS ADELINA MOLINA QUERO</t>
  </si>
  <si>
    <t>14028096</t>
  </si>
  <si>
    <t>9616</t>
  </si>
  <si>
    <t>34549188</t>
  </si>
  <si>
    <t>JUAN DIEGO MEDINA MOLINA</t>
  </si>
  <si>
    <t>Referencia:PD30800250CIB52848753E 2305A 5906A  "</t>
  </si>
  <si>
    <t>34189665</t>
  </si>
  <si>
    <t>JESUS ALBERTO HERMAN AGUIRRECHE</t>
  </si>
  <si>
    <t>JUAN FERNANDO CASTIILO MARTINEZ</t>
  </si>
  <si>
    <t>21277538</t>
  </si>
  <si>
    <t>9615</t>
  </si>
  <si>
    <t>31881058</t>
  </si>
  <si>
    <t>JEAN CARLOS NINRO CASTILLO MARTINEZ</t>
  </si>
  <si>
    <t>Referencia:040807702927 
Banco Destino:BANESCO BANCO UNIVERSAL "</t>
  </si>
  <si>
    <t>FRANCYS LEOLIMAR BUSTILLOS PEÑA</t>
  </si>
  <si>
    <t>17102679</t>
  </si>
  <si>
    <t>9614</t>
  </si>
  <si>
    <t>33053642</t>
  </si>
  <si>
    <t>BARBARA VALENTINA PEÑA BUSTILLOS</t>
  </si>
  <si>
    <t>Referencia:MG22396619C  "</t>
  </si>
  <si>
    <t>ELIANA BEATRIZ GARCÍA HIGUERA</t>
  </si>
  <si>
    <t>10700751</t>
  </si>
  <si>
    <t>9613</t>
  </si>
  <si>
    <t>34549329</t>
  </si>
  <si>
    <t>PEDRO NICOLAS DE JESUS COLINA GARCIA</t>
  </si>
  <si>
    <t>Referencia:nf42099135b md14512894e "</t>
  </si>
  <si>
    <t>DARYMAR PETIT ADRIANZA</t>
  </si>
  <si>
    <t>13204650</t>
  </si>
  <si>
    <t>9612</t>
  </si>
  <si>
    <t>33149710</t>
  </si>
  <si>
    <t>KEREM MELISSA GARCÍA PETIT</t>
  </si>
  <si>
    <t>Referencia:42997024 
Banco Destino:BANESCO BANCO UNIVERSAL "</t>
  </si>
  <si>
    <t>MIRTA COROMOTO CHIRINO DE MORALES</t>
  </si>
  <si>
    <t>3827076</t>
  </si>
  <si>
    <t>9611</t>
  </si>
  <si>
    <t>34549194</t>
  </si>
  <si>
    <t>HARIANNA KORINA GONZALEZ MORALES</t>
  </si>
  <si>
    <t>Referencia:40797213260 
Banco Destino:BANESCO BANCO UNIVERSAL "</t>
  </si>
  <si>
    <t>LILIBETH JOSEFINA MAVAREZ DE ALVARADO</t>
  </si>
  <si>
    <t>15703293</t>
  </si>
  <si>
    <t>9610</t>
  </si>
  <si>
    <t>33053538</t>
  </si>
  <si>
    <t>ISAIAS JOSUE ALVARADO MAVAREZ</t>
  </si>
  <si>
    <t>Referencia:40797166030 
Banco Destino:BANESCO BANCO UNIVERSAL "</t>
  </si>
  <si>
    <t>BRENDA BRIGITTE NAVAS MORILLO</t>
  </si>
  <si>
    <t>18606825</t>
  </si>
  <si>
    <t>9609</t>
  </si>
  <si>
    <t>34190423</t>
  </si>
  <si>
    <t>JHOENDRY GABRIEL ADRIANZA NAVAS</t>
  </si>
  <si>
    <t>Referencia:41182406 
Banco Destino:BANESCO BANCO UNIVERSAL "</t>
  </si>
  <si>
    <t>ANA MARIA SCHWARTZ HENRIQUEZ</t>
  </si>
  <si>
    <t>12497566</t>
  </si>
  <si>
    <t>9608</t>
  </si>
  <si>
    <t>33443862</t>
  </si>
  <si>
    <t>LUIS ALFONSO VELASQUEZ SCHWARTZ</t>
  </si>
  <si>
    <t>Referencia:42974860 
Banco Destino:BANESCO BANCO UNIVERSAL "</t>
  </si>
  <si>
    <t>YENNIS KATIUSKA RIVAS</t>
  </si>
  <si>
    <t>12732280</t>
  </si>
  <si>
    <t>9607</t>
  </si>
  <si>
    <t>34490329</t>
  </si>
  <si>
    <t>VERUZKA ANGELINA MARTI RIVAS</t>
  </si>
  <si>
    <t>Referencia:005121 "</t>
  </si>
  <si>
    <t>DULCE MARIA MIRANDA</t>
  </si>
  <si>
    <t>18481755</t>
  </si>
  <si>
    <t>9606</t>
  </si>
  <si>
    <t>32704698</t>
  </si>
  <si>
    <t>BETZABETH GUADALUPE GARVETT MIRANDA</t>
  </si>
  <si>
    <t>Referencia:15676933 
Banco Destino:BANESCO BANCO UNIVERSAL "</t>
  </si>
  <si>
    <t>CARLOS RAFAEL SIERRA PULGAR</t>
  </si>
  <si>
    <t>11476500</t>
  </si>
  <si>
    <t>9605</t>
  </si>
  <si>
    <t>33509159</t>
  </si>
  <si>
    <t>CARLOS SEBASTIAN SIERRA PALENCIA</t>
  </si>
  <si>
    <t>Referencia:870194 "</t>
  </si>
  <si>
    <t>MARYFLOR DEL VALLE WEFFER OVIOL</t>
  </si>
  <si>
    <t>9507852</t>
  </si>
  <si>
    <t>9604</t>
  </si>
  <si>
    <t>32704930</t>
  </si>
  <si>
    <t>HENRY ALEJANDRO HIDALGO WEFFER</t>
  </si>
  <si>
    <t>Referencia:PD70782887A MF60783207C ME27297152C "</t>
  </si>
  <si>
    <t>JOSANNY ELIZABETH VENTURA ARCILA</t>
  </si>
  <si>
    <t>15556782</t>
  </si>
  <si>
    <t>9603</t>
  </si>
  <si>
    <t>34140228</t>
  </si>
  <si>
    <t>REY JOSIEL MEDINA VENTURA</t>
  </si>
  <si>
    <t>Referencia:020048911748 
Banco Destino:BANESCO BANCO UNIVERSAL "</t>
  </si>
  <si>
    <t>FLOR MARIA DELGADO MOLINA</t>
  </si>
  <si>
    <t>15702579</t>
  </si>
  <si>
    <t>9602</t>
  </si>
  <si>
    <t>32631554</t>
  </si>
  <si>
    <t>SEBASTIAN ANDRES DELGADO MOLINA</t>
  </si>
  <si>
    <t>Referencia:40796647261 
Banco Destino:BANESCO BANCO UNIVERSAL "</t>
  </si>
  <si>
    <t>JANETH ALEXANDRA CROES LUGO</t>
  </si>
  <si>
    <t>15311440</t>
  </si>
  <si>
    <t>9601</t>
  </si>
  <si>
    <t>33942374</t>
  </si>
  <si>
    <t>JOSEANDRA VICTORIA LOYO CROES</t>
  </si>
  <si>
    <t>Referencia:040796976054 
Banco Destino:BANESCO BANCO UNIVERSAL "</t>
  </si>
  <si>
    <t>ANNY TRINIDAD NUÑEZ CHIRINOS</t>
  </si>
  <si>
    <t>13989538</t>
  </si>
  <si>
    <t>9600</t>
  </si>
  <si>
    <t>33463388</t>
  </si>
  <si>
    <t>ORLANDO JOSE SANCHEZ REDONDO</t>
  </si>
  <si>
    <t>Referencia:15714078 
Banco Destino:BANESCO BANCO UNIVERSAL "</t>
  </si>
  <si>
    <t>JOSE LEONARDO CHIRINO CUAURO</t>
  </si>
  <si>
    <t>12488027</t>
  </si>
  <si>
    <t>9599</t>
  </si>
  <si>
    <t>32247684</t>
  </si>
  <si>
    <t>VICTOR MANUEL CHIRINO VELIZ</t>
  </si>
  <si>
    <t>Referencia:40807396396 
Banco Destino:BANESCO BANCO UNIVERSAL "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</si>
</sst>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Bs.S&quot;#,##0.00"/>
    <numFmt numFmtId="165" formatCode="[$$-540A]#,##0.00"/>
  </numFmts>
  <fonts count="2" x14ac:knownFonts="1">
    <font>
      <sz val="11"/>
      <color theme="1"/>
      <name val="Calibri"/>
      <family val="2"/>
      <scheme val="minor"/>
    </font>
    <font>
      <sz val="11"/>
      <color theme="0"/>
      <name val="Arial Black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0" fillId="0" borderId="7" xfId="0" applyBorder="1"/>
    <xf numFmtId="0" fontId="0" fillId="0" borderId="4" xfId="0" applyBorder="1"/>
    <xf numFmtId="2" fontId="0" fillId="0" borderId="7" xfId="0" applyNumberFormat="1" applyBorder="1"/>
    <xf numFmtId="2" fontId="0" fillId="0" borderId="4" xfId="0" applyNumberFormat="1" applyBorder="1"/>
    <xf numFmtId="0" fontId="1" fillId="2" borderId="6" xfId="0" applyFont="1" applyFill="1" applyBorder="1" applyAlignment="1">
      <alignment horizontal="center" vertical="center"/>
    </xf>
    <xf numFmtId="164" fontId="0" fillId="0" borderId="9" xfId="0" applyNumberFormat="1" applyBorder="1"/>
    <xf numFmtId="164" fontId="0" fillId="0" borderId="8" xfId="0" applyNumberFormat="1" applyBorder="1"/>
    <xf numFmtId="165" fontId="0" fillId="0" borderId="8" xfId="0" applyNumberFormat="1" applyBorder="1"/>
    <xf numFmtId="165" fontId="0" fillId="0" borderId="9" xfId="0" applyNumberFormat="1" applyBorder="1"/>
    <xf numFmtId="0" fontId="0" fillId="0" borderId="0" xfId="0" applyAlignment="1">
      <alignment horizontal="center"/>
    </xf>
    <xf numFmtId="0" fontId="1" fillId="2" borderId="0" xfId="0" applyFont="1" applyFill="1" applyBorder="1" applyAlignment="1">
      <alignment horizontal="center" vertical="center"/>
    </xf>
    <xf numFmtId="2" fontId="0" fillId="0" borderId="0" xfId="0" applyNumberFormat="1"/>
  </cellXfs>
  <cellStyles count="1">
    <cellStyle name="Normal" xfId="0" builtinId="0"/>
  </cellStyles>
  <dxfs count="7">
    <dxf>
      <font>
        <color theme="0" tint="-4.9989318521683403E-2"/>
      </font>
      <fill>
        <patternFill>
          <fgColor indexed="64"/>
          <bgColor rgb="FFFFC000"/>
        </patternFill>
      </fill>
    </dxf>
    <dxf>
      <font>
        <color theme="0" tint="-4.9989318521683403E-2"/>
      </font>
      <fill>
        <patternFill>
          <bgColor rgb="FFFFC000"/>
        </patternFill>
      </fill>
    </dxf>
    <dxf>
      <font>
        <color theme="0" tint="-4.9989318521683403E-2"/>
      </font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EE7F9-FB4B-4334-8A3C-DE5631B68447}">
  <sheetPr codeName="Hoja1"/>
  <dimension ref="A1:AK31"/>
  <sheetViews>
    <sheetView tabSelected="1" workbookViewId="0">
      <selection activeCell="H3" sqref="H3"/>
    </sheetView>
  </sheetViews>
  <sheetFormatPr baseColWidth="10" defaultRowHeight="15" x14ac:dyDescent="0.25"/>
  <cols>
    <col min="2" max="2" width="10.7109375" bestFit="1" customWidth="1"/>
    <col min="3" max="3" width="41.140625" bestFit="1" customWidth="1"/>
    <col min="4" max="4" width="11.5703125" bestFit="1" customWidth="1"/>
    <col min="5" max="5" width="9.42578125" bestFit="1" customWidth="1"/>
    <col min="6" max="6" width="13" bestFit="1" customWidth="1"/>
    <col min="7" max="7" width="16" bestFit="1" customWidth="1"/>
    <col min="8" max="8" width="17.85546875" bestFit="1" customWidth="1"/>
    <col min="9" max="9" width="16" bestFit="1" customWidth="1"/>
    <col min="10" max="10" width="10.5703125" bestFit="1" customWidth="1"/>
    <col min="11" max="11" width="16" bestFit="1" customWidth="1"/>
    <col min="12" max="12" width="5.42578125" customWidth="1"/>
    <col min="13" max="13" width="14" bestFit="1" customWidth="1"/>
    <col min="14" max="14" width="43.85546875" bestFit="1" customWidth="1"/>
    <col min="17" max="20" width="11.7109375" bestFit="1" customWidth="1"/>
    <col min="21" max="22" width="12.7109375" bestFit="1" customWidth="1"/>
    <col min="23" max="23" width="11.7109375" bestFit="1" customWidth="1"/>
    <col min="27" max="27" width="9" bestFit="1" customWidth="1"/>
    <col min="30" max="30" width="12.5703125" customWidth="1"/>
    <col min="31" max="31" width="12.7109375" bestFit="1" customWidth="1"/>
    <col min="32" max="32" width="11.7109375" bestFit="1" customWidth="1"/>
    <col min="34" max="34" width="11.7109375" bestFit="1" customWidth="1"/>
    <col min="37" max="37" width="66.140625" bestFit="1" customWidth="1"/>
  </cols>
  <sheetData>
    <row r="1" spans="1:37" x14ac:dyDescent="0.25">
      <c r="A1" t="s">
        <v>0</v>
      </c>
      <c r="B1" t="s">
        <v>1</v>
      </c>
      <c r="C1" s="14" t="s">
        <v>2</v>
      </c>
      <c r="D1" s="14"/>
      <c r="E1" s="14"/>
      <c r="F1" s="14"/>
      <c r="G1" t="s">
        <v>0</v>
      </c>
      <c r="H1" t="s">
        <v>0</v>
      </c>
      <c r="I1" t="s">
        <v>0</v>
      </c>
      <c r="J1" t="s">
        <v>0</v>
      </c>
      <c r="K1" t="s">
        <v>0</v>
      </c>
      <c r="L1" t="s">
        <v>0</v>
      </c>
      <c r="M1" t="s">
        <v>0</v>
      </c>
      <c r="N1" t="s">
        <v>0</v>
      </c>
      <c r="O1" t="s">
        <v>0</v>
      </c>
      <c r="P1" t="s">
        <v>0</v>
      </c>
      <c r="Q1" t="s">
        <v>0</v>
      </c>
      <c r="R1" t="s">
        <v>0</v>
      </c>
      <c r="S1" t="s">
        <v>0</v>
      </c>
      <c r="T1" t="s">
        <v>0</v>
      </c>
      <c r="U1" t="s">
        <v>0</v>
      </c>
      <c r="V1" t="s">
        <v>0</v>
      </c>
      <c r="W1" t="s">
        <v>0</v>
      </c>
      <c r="X1" t="s">
        <v>0</v>
      </c>
      <c r="Y1" t="s">
        <v>0</v>
      </c>
      <c r="Z1" t="s">
        <v>0</v>
      </c>
      <c r="AA1" t="s">
        <v>0</v>
      </c>
      <c r="AB1" t="s">
        <v>0</v>
      </c>
      <c r="AC1" t="s">
        <v>0</v>
      </c>
      <c r="AD1" t="s">
        <v>0</v>
      </c>
      <c r="AE1" t="s">
        <v>0</v>
      </c>
      <c r="AF1" t="s">
        <v>0</v>
      </c>
      <c r="AG1" t="s">
        <v>0</v>
      </c>
      <c r="AH1" t="s">
        <v>0</v>
      </c>
      <c r="AI1" t="s">
        <v>0</v>
      </c>
      <c r="AJ1" t="s">
        <v>0</v>
      </c>
      <c r="AK1" t="s">
        <v>0</v>
      </c>
    </row>
    <row r="2" spans="1:37" x14ac:dyDescent="0.25">
      <c r="A2" t="s">
        <v>0</v>
      </c>
      <c r="B2" t="s">
        <v>3</v>
      </c>
      <c r="C2" s="14" t="s">
        <v>4</v>
      </c>
      <c r="D2" s="14"/>
      <c r="E2" s="14"/>
      <c r="F2" s="14"/>
      <c r="G2" t="s">
        <v>0</v>
      </c>
      <c r="H2" t="s">
        <v>0</v>
      </c>
      <c r="I2" t="s">
        <v>0</v>
      </c>
      <c r="J2" t="s">
        <v>0</v>
      </c>
      <c r="K2" t="s">
        <v>0</v>
      </c>
      <c r="L2" t="s">
        <v>0</v>
      </c>
      <c r="M2" t="s">
        <v>0</v>
      </c>
      <c r="N2" t="s">
        <v>0</v>
      </c>
      <c r="O2" t="s">
        <v>0</v>
      </c>
      <c r="P2" t="s">
        <v>0</v>
      </c>
      <c r="Q2" t="s">
        <v>0</v>
      </c>
      <c r="R2" t="s">
        <v>0</v>
      </c>
      <c r="S2" t="s">
        <v>0</v>
      </c>
      <c r="T2" t="s">
        <v>0</v>
      </c>
      <c r="U2" t="s">
        <v>0</v>
      </c>
      <c r="V2" t="s">
        <v>0</v>
      </c>
      <c r="W2" t="s">
        <v>0</v>
      </c>
      <c r="X2" t="s">
        <v>0</v>
      </c>
      <c r="Y2" t="s">
        <v>0</v>
      </c>
      <c r="Z2" t="s">
        <v>0</v>
      </c>
      <c r="AA2" t="s">
        <v>0</v>
      </c>
      <c r="AB2" t="s">
        <v>0</v>
      </c>
    </row>
    <row r="3" spans="1:37" x14ac:dyDescent="0.25">
      <c r="A3" t="s">
        <v>0</v>
      </c>
      <c r="B3" t="s">
        <v>0</v>
      </c>
      <c r="C3" s="14" t="s">
        <v>5</v>
      </c>
      <c r="D3" s="14"/>
      <c r="E3" s="14"/>
      <c r="F3" s="14"/>
      <c r="G3" t="s">
        <v>0</v>
      </c>
      <c r="H3" t="s">
        <v>0</v>
      </c>
      <c r="I3" t="s">
        <v>0</v>
      </c>
      <c r="J3" t="s">
        <v>0</v>
      </c>
      <c r="K3" t="s">
        <v>0</v>
      </c>
      <c r="L3" t="s">
        <v>0</v>
      </c>
      <c r="M3" t="s">
        <v>0</v>
      </c>
      <c r="N3" t="s">
        <v>0</v>
      </c>
      <c r="O3" t="s">
        <v>0</v>
      </c>
      <c r="P3" t="s">
        <v>0</v>
      </c>
      <c r="Q3" t="s">
        <v>0</v>
      </c>
      <c r="R3" t="s">
        <v>0</v>
      </c>
      <c r="S3" t="s">
        <v>0</v>
      </c>
      <c r="T3" t="s">
        <v>0</v>
      </c>
      <c r="U3" t="s">
        <v>0</v>
      </c>
      <c r="V3" t="s">
        <v>0</v>
      </c>
      <c r="W3" t="s">
        <v>0</v>
      </c>
      <c r="X3" t="s">
        <v>0</v>
      </c>
      <c r="Y3" t="s">
        <v>0</v>
      </c>
      <c r="Z3" t="s">
        <v>0</v>
      </c>
      <c r="AA3" t="s">
        <v>0</v>
      </c>
      <c r="AB3" t="s">
        <v>0</v>
      </c>
    </row>
    <row r="4" spans="1:37" x14ac:dyDescent="0.25">
      <c r="A4" t="s">
        <v>0</v>
      </c>
      <c r="B4" t="s">
        <v>0</v>
      </c>
      <c r="C4" t="s">
        <v>0</v>
      </c>
      <c r="D4" t="s">
        <v>0</v>
      </c>
      <c r="E4" t="s">
        <v>0</v>
      </c>
      <c r="F4" t="s">
        <v>0</v>
      </c>
      <c r="G4" t="s">
        <v>0</v>
      </c>
      <c r="H4" t="s">
        <v>0</v>
      </c>
      <c r="I4" t="s">
        <v>0</v>
      </c>
      <c r="J4" t="s">
        <v>0</v>
      </c>
      <c r="K4" t="s">
        <v>0</v>
      </c>
      <c r="L4" t="s">
        <v>0</v>
      </c>
      <c r="M4" t="s">
        <v>0</v>
      </c>
      <c r="N4" t="s">
        <v>0</v>
      </c>
      <c r="O4" t="s">
        <v>0</v>
      </c>
      <c r="P4" t="s">
        <v>0</v>
      </c>
      <c r="Q4" t="s">
        <v>0</v>
      </c>
      <c r="R4" t="s">
        <v>0</v>
      </c>
      <c r="S4" t="s">
        <v>0</v>
      </c>
      <c r="T4" t="s">
        <v>0</v>
      </c>
      <c r="U4" t="s">
        <v>0</v>
      </c>
      <c r="V4" t="s">
        <v>0</v>
      </c>
      <c r="W4" t="s">
        <v>0</v>
      </c>
      <c r="X4" t="s">
        <v>0</v>
      </c>
      <c r="Y4" t="s">
        <v>0</v>
      </c>
      <c r="Z4" t="s">
        <v>0</v>
      </c>
      <c r="AA4" t="s">
        <v>0</v>
      </c>
      <c r="AB4" t="s">
        <v>0</v>
      </c>
      <c r="AC4" t="s">
        <v>0</v>
      </c>
      <c r="AD4" t="s">
        <v>0</v>
      </c>
      <c r="AE4" t="s">
        <v>0</v>
      </c>
    </row>
    <row r="5" spans="1:37" ht="18.75" x14ac:dyDescent="0.25">
      <c r="A5" s="1" t="s">
        <v>0</v>
      </c>
      <c r="B5" s="2" t="s">
        <v>0</v>
      </c>
      <c r="C5" s="2" t="s">
        <v>0</v>
      </c>
      <c r="D5" s="2" t="s">
        <v>6</v>
      </c>
      <c r="E5" s="2" t="s">
        <v>7</v>
      </c>
      <c r="F5" s="2" t="s">
        <v>8</v>
      </c>
      <c r="G5" s="2" t="s">
        <v>0</v>
      </c>
      <c r="H5" s="2" t="s">
        <v>9</v>
      </c>
      <c r="I5" s="2" t="s">
        <v>9</v>
      </c>
      <c r="J5" s="2" t="s">
        <v>0</v>
      </c>
      <c r="K5" s="2" t="s">
        <v>10</v>
      </c>
      <c r="L5" s="2" t="s">
        <v>0</v>
      </c>
      <c r="M5" s="2" t="s">
        <v>11</v>
      </c>
      <c r="N5" s="2" t="s">
        <v>0</v>
      </c>
      <c r="O5" s="2" t="s">
        <v>0</v>
      </c>
      <c r="P5" s="2" t="s">
        <v>0</v>
      </c>
      <c r="Q5" s="2" t="s">
        <v>0</v>
      </c>
      <c r="R5" s="2" t="s">
        <v>0</v>
      </c>
      <c r="S5" s="2" t="s">
        <v>0</v>
      </c>
      <c r="T5" s="2" t="s">
        <v>0</v>
      </c>
      <c r="U5" s="2" t="s">
        <v>0</v>
      </c>
      <c r="V5" s="2" t="s">
        <v>0</v>
      </c>
      <c r="W5" s="2" t="s">
        <v>0</v>
      </c>
      <c r="X5" s="2" t="s">
        <v>0</v>
      </c>
      <c r="Y5" s="2" t="s">
        <v>0</v>
      </c>
      <c r="Z5" s="2" t="s">
        <v>0</v>
      </c>
      <c r="AA5" s="2" t="s">
        <v>12</v>
      </c>
      <c r="AB5" s="2" t="s">
        <v>13</v>
      </c>
      <c r="AC5" s="2" t="s">
        <v>0</v>
      </c>
      <c r="AD5" s="2" t="s">
        <v>14</v>
      </c>
      <c r="AE5" s="2" t="s">
        <v>15</v>
      </c>
      <c r="AF5" s="2" t="s">
        <v>16</v>
      </c>
      <c r="AG5" s="2"/>
      <c r="AH5" s="2"/>
      <c r="AI5" s="2"/>
      <c r="AJ5" s="2"/>
      <c r="AK5" s="3"/>
    </row>
    <row r="6" spans="1:37" ht="18.75" x14ac:dyDescent="0.25">
      <c r="A6" s="4" t="s">
        <v>7</v>
      </c>
      <c r="B6" s="15" t="s">
        <v>17</v>
      </c>
      <c r="C6" s="15" t="s">
        <v>18</v>
      </c>
      <c r="D6" s="15" t="s">
        <v>19</v>
      </c>
      <c r="E6" s="15" t="s">
        <v>20</v>
      </c>
      <c r="F6" s="15" t="s">
        <v>21</v>
      </c>
      <c r="G6" s="15" t="s">
        <v>9</v>
      </c>
      <c r="H6" s="15" t="s">
        <v>22</v>
      </c>
      <c r="I6" s="15" t="s">
        <v>23</v>
      </c>
      <c r="J6" s="15" t="s">
        <v>24</v>
      </c>
      <c r="K6" s="15" t="s">
        <v>9</v>
      </c>
      <c r="L6" s="15" t="s">
        <v>0</v>
      </c>
      <c r="M6" s="15" t="s">
        <v>25</v>
      </c>
      <c r="N6" s="15" t="s">
        <v>26</v>
      </c>
      <c r="O6" s="15" t="s">
        <v>27</v>
      </c>
      <c r="P6" s="15" t="s">
        <v>28</v>
      </c>
      <c r="Q6" s="15" t="s">
        <v>29</v>
      </c>
      <c r="R6" s="15" t="s">
        <v>30</v>
      </c>
      <c r="S6" s="15" t="s">
        <v>31</v>
      </c>
      <c r="T6" s="15" t="s">
        <v>32</v>
      </c>
      <c r="U6" s="15" t="s">
        <v>33</v>
      </c>
      <c r="V6" s="15" t="s">
        <v>34</v>
      </c>
      <c r="W6" s="15" t="s">
        <v>35</v>
      </c>
      <c r="X6" s="15" t="s">
        <v>36</v>
      </c>
      <c r="Y6" s="15" t="s">
        <v>37</v>
      </c>
      <c r="Z6" s="15" t="s">
        <v>38</v>
      </c>
      <c r="AA6" s="15" t="s">
        <v>39</v>
      </c>
      <c r="AB6" s="15" t="s">
        <v>40</v>
      </c>
      <c r="AC6" s="15" t="s">
        <v>41</v>
      </c>
      <c r="AD6" s="15" t="s">
        <v>42</v>
      </c>
      <c r="AE6" s="15" t="s">
        <v>43</v>
      </c>
      <c r="AF6" s="15" t="s">
        <v>44</v>
      </c>
      <c r="AG6" s="15" t="s">
        <v>45</v>
      </c>
      <c r="AH6" s="15" t="s">
        <v>46</v>
      </c>
      <c r="AI6" s="15" t="s">
        <v>47</v>
      </c>
      <c r="AJ6" s="15" t="s">
        <v>48</v>
      </c>
      <c r="AK6" s="9" t="s">
        <v>49</v>
      </c>
    </row>
    <row r="7" spans="1:37" x14ac:dyDescent="0.25">
      <c r="A7" s="6">
        <v>1</v>
      </c>
      <c r="B7" s="6" t="s">
        <v>3</v>
      </c>
      <c r="C7" s="6" t="s">
        <v>63</v>
      </c>
      <c r="D7" s="6" t="s">
        <v>64</v>
      </c>
      <c r="E7" s="6" t="s">
        <v>65</v>
      </c>
      <c r="F7" s="8">
        <v>1451.6</v>
      </c>
      <c r="G7" s="8">
        <v>1451.6</v>
      </c>
      <c r="H7" s="6">
        <v>0</v>
      </c>
      <c r="I7" s="6">
        <v>0</v>
      </c>
      <c r="J7" s="6" t="s">
        <v>53</v>
      </c>
      <c r="K7" s="8">
        <v>1451.6</v>
      </c>
      <c r="L7" s="6" t="s">
        <v>53</v>
      </c>
      <c r="M7" s="6" t="s">
        <v>66</v>
      </c>
      <c r="N7" s="6" t="s">
        <v>67</v>
      </c>
      <c r="O7" s="6" t="s">
        <v>0</v>
      </c>
      <c r="P7" s="6" t="s">
        <v>0</v>
      </c>
      <c r="Q7" s="6" t="s">
        <v>0</v>
      </c>
      <c r="R7" s="6" t="s">
        <v>0</v>
      </c>
      <c r="S7" s="6" t="s">
        <v>0</v>
      </c>
      <c r="T7" s="6" t="s">
        <v>0</v>
      </c>
      <c r="U7" s="8">
        <v>1451.6</v>
      </c>
      <c r="V7" s="6" t="s">
        <v>0</v>
      </c>
      <c r="W7" s="6" t="s">
        <v>0</v>
      </c>
      <c r="X7" s="6" t="s">
        <v>0</v>
      </c>
      <c r="Y7" s="6" t="s">
        <v>0</v>
      </c>
      <c r="Z7" s="6" t="s">
        <v>0</v>
      </c>
      <c r="AA7" s="6" t="s">
        <v>0</v>
      </c>
      <c r="AB7" s="8">
        <v>36.29</v>
      </c>
      <c r="AC7" s="8">
        <v>0</v>
      </c>
      <c r="AD7" s="6">
        <v>0</v>
      </c>
      <c r="AE7" s="8">
        <v>1451.6</v>
      </c>
      <c r="AF7" s="6">
        <v>0</v>
      </c>
      <c r="AG7" s="6">
        <v>0</v>
      </c>
      <c r="AH7" s="6">
        <v>0</v>
      </c>
      <c r="AI7" s="6">
        <v>0</v>
      </c>
      <c r="AJ7" s="6">
        <v>0</v>
      </c>
      <c r="AK7" s="6" t="s">
        <v>68</v>
      </c>
    </row>
    <row r="8" spans="1:37" x14ac:dyDescent="0.25">
      <c r="A8" s="6">
        <v>2</v>
      </c>
      <c r="B8" s="6" t="s">
        <v>3</v>
      </c>
      <c r="C8" s="6" t="s">
        <v>50</v>
      </c>
      <c r="D8" s="6" t="s">
        <v>51</v>
      </c>
      <c r="E8" s="6" t="s">
        <v>52</v>
      </c>
      <c r="F8" s="8">
        <v>1447.6</v>
      </c>
      <c r="G8" s="8">
        <v>1474.6000000000001</v>
      </c>
      <c r="H8" s="8">
        <v>-27</v>
      </c>
      <c r="I8" s="6">
        <v>0</v>
      </c>
      <c r="J8" s="6" t="s">
        <v>53</v>
      </c>
      <c r="K8" s="8">
        <v>1447.6000000000001</v>
      </c>
      <c r="L8" s="6" t="s">
        <v>53</v>
      </c>
      <c r="M8" s="6" t="s">
        <v>54</v>
      </c>
      <c r="N8" s="6" t="s">
        <v>55</v>
      </c>
      <c r="O8" s="6" t="s">
        <v>0</v>
      </c>
      <c r="P8" s="6" t="s">
        <v>0</v>
      </c>
      <c r="Q8" s="6" t="s">
        <v>0</v>
      </c>
      <c r="R8" s="6" t="s">
        <v>0</v>
      </c>
      <c r="S8" s="6" t="s">
        <v>0</v>
      </c>
      <c r="T8" s="6" t="s">
        <v>0</v>
      </c>
      <c r="U8" s="8">
        <v>1474.6000000000001</v>
      </c>
      <c r="V8" s="6" t="s">
        <v>0</v>
      </c>
      <c r="W8" s="6" t="s">
        <v>0</v>
      </c>
      <c r="X8" s="6" t="s">
        <v>0</v>
      </c>
      <c r="Y8" s="6" t="s">
        <v>0</v>
      </c>
      <c r="Z8" s="6" t="s">
        <v>0</v>
      </c>
      <c r="AA8" s="6" t="s">
        <v>0</v>
      </c>
      <c r="AB8" s="8">
        <v>36.865000000000002</v>
      </c>
      <c r="AC8" s="8">
        <v>0</v>
      </c>
      <c r="AD8" s="6">
        <v>0</v>
      </c>
      <c r="AE8" s="6">
        <v>0</v>
      </c>
      <c r="AF8" s="6">
        <v>0</v>
      </c>
      <c r="AG8" s="6">
        <v>0</v>
      </c>
      <c r="AH8" s="8">
        <v>722.6</v>
      </c>
      <c r="AI8" s="6">
        <v>0</v>
      </c>
      <c r="AJ8" s="6">
        <v>0</v>
      </c>
      <c r="AK8" s="6" t="s">
        <v>56</v>
      </c>
    </row>
    <row r="9" spans="1:37" x14ac:dyDescent="0.25">
      <c r="A9" s="6">
        <v>3</v>
      </c>
      <c r="B9" s="6" t="s">
        <v>3</v>
      </c>
      <c r="C9" s="6" t="s">
        <v>57</v>
      </c>
      <c r="D9" s="6" t="s">
        <v>58</v>
      </c>
      <c r="E9" s="6" t="s">
        <v>59</v>
      </c>
      <c r="F9" s="8">
        <v>2901.2240000000002</v>
      </c>
      <c r="G9" s="8">
        <v>2901.2240000000002</v>
      </c>
      <c r="H9" s="6">
        <v>0</v>
      </c>
      <c r="I9" s="6">
        <v>0</v>
      </c>
      <c r="J9" s="6" t="s">
        <v>53</v>
      </c>
      <c r="K9" s="8">
        <v>2901.2240000000002</v>
      </c>
      <c r="L9" s="6" t="s">
        <v>53</v>
      </c>
      <c r="M9" s="6" t="s">
        <v>60</v>
      </c>
      <c r="N9" s="6" t="s">
        <v>61</v>
      </c>
      <c r="O9" s="6" t="s">
        <v>0</v>
      </c>
      <c r="P9" s="6" t="s">
        <v>0</v>
      </c>
      <c r="Q9" s="6" t="s">
        <v>0</v>
      </c>
      <c r="R9" s="6" t="s">
        <v>0</v>
      </c>
      <c r="S9" s="6" t="s">
        <v>0</v>
      </c>
      <c r="T9" s="6" t="s">
        <v>0</v>
      </c>
      <c r="U9" s="8">
        <v>1450.6120000000001</v>
      </c>
      <c r="V9" s="8">
        <v>1450.6120000000001</v>
      </c>
      <c r="W9" s="6" t="s">
        <v>0</v>
      </c>
      <c r="X9" s="6" t="s">
        <v>0</v>
      </c>
      <c r="Y9" s="6" t="s">
        <v>0</v>
      </c>
      <c r="Z9" s="6" t="s">
        <v>0</v>
      </c>
      <c r="AA9" s="6" t="s">
        <v>0</v>
      </c>
      <c r="AB9" s="8">
        <v>36.265300000000003</v>
      </c>
      <c r="AC9" s="8">
        <v>80</v>
      </c>
      <c r="AD9" s="6">
        <v>0</v>
      </c>
      <c r="AE9" s="6">
        <v>0</v>
      </c>
      <c r="AF9" s="6">
        <v>0</v>
      </c>
      <c r="AG9" s="6">
        <v>0</v>
      </c>
      <c r="AH9" s="6">
        <v>0</v>
      </c>
      <c r="AI9" s="8">
        <v>80</v>
      </c>
      <c r="AJ9" s="6">
        <v>0</v>
      </c>
      <c r="AK9" s="6" t="s">
        <v>62</v>
      </c>
    </row>
    <row r="10" spans="1:37" x14ac:dyDescent="0.25">
      <c r="A10" s="6">
        <v>4</v>
      </c>
      <c r="B10" s="6" t="s">
        <v>3</v>
      </c>
      <c r="C10" s="6" t="s">
        <v>69</v>
      </c>
      <c r="D10" s="6" t="s">
        <v>70</v>
      </c>
      <c r="E10" s="6" t="s">
        <v>71</v>
      </c>
      <c r="F10" s="8">
        <v>2901.2240000000002</v>
      </c>
      <c r="G10" s="8">
        <v>2901.2240000000002</v>
      </c>
      <c r="H10" s="8">
        <v>-6.0000000000000001E-3</v>
      </c>
      <c r="I10" s="8">
        <v>0</v>
      </c>
      <c r="J10" s="6" t="s">
        <v>53</v>
      </c>
      <c r="K10" s="8">
        <v>2901.2180000000003</v>
      </c>
      <c r="L10" s="6" t="s">
        <v>53</v>
      </c>
      <c r="M10" s="6" t="s">
        <v>72</v>
      </c>
      <c r="N10" s="6" t="s">
        <v>73</v>
      </c>
      <c r="O10" s="6" t="s">
        <v>0</v>
      </c>
      <c r="P10" s="6" t="s">
        <v>0</v>
      </c>
      <c r="Q10" s="6" t="s">
        <v>0</v>
      </c>
      <c r="R10" s="6" t="s">
        <v>0</v>
      </c>
      <c r="S10" s="6" t="s">
        <v>0</v>
      </c>
      <c r="T10" s="6" t="s">
        <v>0</v>
      </c>
      <c r="U10" s="6" t="s">
        <v>0</v>
      </c>
      <c r="V10" s="8">
        <v>1450.6120000000001</v>
      </c>
      <c r="W10" s="6" t="s">
        <v>0</v>
      </c>
      <c r="X10" s="6" t="s">
        <v>0</v>
      </c>
      <c r="Y10" s="6" t="s">
        <v>0</v>
      </c>
      <c r="Z10" s="6" t="s">
        <v>0</v>
      </c>
      <c r="AA10" s="6" t="s">
        <v>0</v>
      </c>
      <c r="AB10" s="8">
        <v>36.265300000000003</v>
      </c>
      <c r="AC10" s="8">
        <v>80</v>
      </c>
      <c r="AD10" s="6">
        <v>0</v>
      </c>
      <c r="AE10" s="6">
        <v>0</v>
      </c>
      <c r="AF10" s="6">
        <v>0</v>
      </c>
      <c r="AG10" s="6">
        <v>0</v>
      </c>
      <c r="AH10" s="6">
        <v>0</v>
      </c>
      <c r="AI10" s="8">
        <v>80</v>
      </c>
      <c r="AJ10" s="6">
        <v>0</v>
      </c>
      <c r="AK10" s="6" t="s">
        <v>74</v>
      </c>
    </row>
    <row r="11" spans="1:37" x14ac:dyDescent="0.25">
      <c r="A11" s="6">
        <v>5</v>
      </c>
      <c r="B11" s="6" t="s">
        <v>3</v>
      </c>
      <c r="C11" s="6" t="s">
        <v>69</v>
      </c>
      <c r="D11" s="6" t="s">
        <v>70</v>
      </c>
      <c r="E11" s="6" t="s">
        <v>71</v>
      </c>
      <c r="F11" s="8">
        <v>2901.2240000000002</v>
      </c>
      <c r="G11" s="8">
        <v>2901.2240000000002</v>
      </c>
      <c r="H11" s="8">
        <v>-6.0000000000000001E-3</v>
      </c>
      <c r="I11" s="8">
        <v>0</v>
      </c>
      <c r="J11" s="6" t="s">
        <v>53</v>
      </c>
      <c r="K11" s="8">
        <v>2901.2180000000003</v>
      </c>
      <c r="L11" s="6" t="s">
        <v>53</v>
      </c>
      <c r="M11" s="6" t="s">
        <v>75</v>
      </c>
      <c r="N11" s="6" t="s">
        <v>76</v>
      </c>
      <c r="O11" s="6" t="s">
        <v>0</v>
      </c>
      <c r="P11" s="6" t="s">
        <v>0</v>
      </c>
      <c r="Q11" s="6" t="s">
        <v>0</v>
      </c>
      <c r="R11" s="6" t="s">
        <v>0</v>
      </c>
      <c r="S11" s="6" t="s">
        <v>0</v>
      </c>
      <c r="T11" s="6" t="s">
        <v>0</v>
      </c>
      <c r="U11" s="6" t="s">
        <v>0</v>
      </c>
      <c r="V11" s="8">
        <v>1450.6120000000001</v>
      </c>
      <c r="W11" s="6" t="s">
        <v>0</v>
      </c>
      <c r="X11" s="6" t="s">
        <v>0</v>
      </c>
      <c r="Y11" s="6" t="s">
        <v>0</v>
      </c>
      <c r="Z11" s="6" t="s">
        <v>0</v>
      </c>
      <c r="AA11" s="6" t="s">
        <v>0</v>
      </c>
      <c r="AB11" s="8">
        <v>36.265300000000003</v>
      </c>
      <c r="AC11" s="8">
        <v>80</v>
      </c>
      <c r="AD11" s="6">
        <v>0</v>
      </c>
      <c r="AE11" s="6">
        <v>0</v>
      </c>
      <c r="AF11" s="6">
        <v>0</v>
      </c>
      <c r="AG11" s="6">
        <v>0</v>
      </c>
      <c r="AH11" s="6">
        <v>0</v>
      </c>
      <c r="AI11" s="8">
        <v>80</v>
      </c>
      <c r="AJ11" s="6">
        <v>0</v>
      </c>
      <c r="AK11" s="6" t="s">
        <v>74</v>
      </c>
    </row>
    <row r="12" spans="1:37" x14ac:dyDescent="0.25">
      <c r="A12" s="6">
        <v>6</v>
      </c>
      <c r="B12" s="6" t="s">
        <v>3</v>
      </c>
      <c r="C12" s="6" t="s">
        <v>77</v>
      </c>
      <c r="D12" s="6" t="s">
        <v>78</v>
      </c>
      <c r="E12" s="6" t="s">
        <v>79</v>
      </c>
      <c r="F12" s="8">
        <v>2901.22</v>
      </c>
      <c r="G12" s="8">
        <v>2901.2240000000002</v>
      </c>
      <c r="H12" s="6">
        <v>0</v>
      </c>
      <c r="I12" s="6">
        <v>0</v>
      </c>
      <c r="J12" s="6" t="s">
        <v>53</v>
      </c>
      <c r="K12" s="8">
        <v>2901.2240000000002</v>
      </c>
      <c r="L12" s="6" t="s">
        <v>53</v>
      </c>
      <c r="M12" s="6" t="s">
        <v>80</v>
      </c>
      <c r="N12" s="6" t="s">
        <v>81</v>
      </c>
      <c r="O12" s="6" t="s">
        <v>0</v>
      </c>
      <c r="P12" s="6" t="s">
        <v>0</v>
      </c>
      <c r="Q12" s="8">
        <v>1450.6120000000001</v>
      </c>
      <c r="R12" s="8">
        <v>1450.6120000000001</v>
      </c>
      <c r="S12" s="6" t="s">
        <v>0</v>
      </c>
      <c r="T12" s="6" t="s">
        <v>0</v>
      </c>
      <c r="U12" s="6" t="s">
        <v>0</v>
      </c>
      <c r="V12" s="6" t="s">
        <v>0</v>
      </c>
      <c r="W12" s="6" t="s">
        <v>0</v>
      </c>
      <c r="X12" s="6" t="s">
        <v>0</v>
      </c>
      <c r="Y12" s="6" t="s">
        <v>0</v>
      </c>
      <c r="Z12" s="6" t="s">
        <v>0</v>
      </c>
      <c r="AA12" s="6" t="s">
        <v>0</v>
      </c>
      <c r="AB12" s="8">
        <v>36.265300000000003</v>
      </c>
      <c r="AC12" s="8">
        <v>0</v>
      </c>
      <c r="AD12" s="6">
        <v>0</v>
      </c>
      <c r="AE12" s="6">
        <v>0</v>
      </c>
      <c r="AF12" s="6">
        <v>0</v>
      </c>
      <c r="AG12" s="6">
        <v>0</v>
      </c>
      <c r="AH12" s="8">
        <v>2901.22</v>
      </c>
      <c r="AI12" s="6">
        <v>0</v>
      </c>
      <c r="AJ12" s="6">
        <v>0</v>
      </c>
      <c r="AK12" s="6" t="s">
        <v>82</v>
      </c>
    </row>
    <row r="13" spans="1:37" x14ac:dyDescent="0.25">
      <c r="A13" s="6">
        <v>7</v>
      </c>
      <c r="B13" s="6" t="s">
        <v>3</v>
      </c>
      <c r="C13" s="6" t="s">
        <v>83</v>
      </c>
      <c r="D13" s="6" t="s">
        <v>84</v>
      </c>
      <c r="E13" s="6" t="s">
        <v>85</v>
      </c>
      <c r="F13" s="8">
        <v>1450.6120000000001</v>
      </c>
      <c r="G13" s="8">
        <v>1450.6120000000001</v>
      </c>
      <c r="H13" s="6">
        <v>0</v>
      </c>
      <c r="I13" s="6">
        <v>0</v>
      </c>
      <c r="J13" s="6" t="s">
        <v>53</v>
      </c>
      <c r="K13" s="8">
        <v>1450.6120000000001</v>
      </c>
      <c r="L13" s="6" t="s">
        <v>53</v>
      </c>
      <c r="M13" s="6" t="s">
        <v>86</v>
      </c>
      <c r="N13" s="6" t="s">
        <v>87</v>
      </c>
      <c r="O13" s="6" t="s">
        <v>0</v>
      </c>
      <c r="P13" s="6" t="s">
        <v>0</v>
      </c>
      <c r="Q13" s="6" t="s">
        <v>0</v>
      </c>
      <c r="R13" s="6" t="s">
        <v>0</v>
      </c>
      <c r="S13" s="6" t="s">
        <v>0</v>
      </c>
      <c r="T13" s="6" t="s">
        <v>0</v>
      </c>
      <c r="U13" s="6" t="s">
        <v>0</v>
      </c>
      <c r="V13" s="8">
        <v>1450.6120000000001</v>
      </c>
      <c r="W13" s="6" t="s">
        <v>0</v>
      </c>
      <c r="X13" s="6" t="s">
        <v>0</v>
      </c>
      <c r="Y13" s="6" t="s">
        <v>0</v>
      </c>
      <c r="Z13" s="6" t="s">
        <v>0</v>
      </c>
      <c r="AA13" s="6" t="s">
        <v>0</v>
      </c>
      <c r="AB13" s="8">
        <v>36.265300000000003</v>
      </c>
      <c r="AC13" s="8">
        <v>40</v>
      </c>
      <c r="AD13" s="6">
        <v>0</v>
      </c>
      <c r="AE13" s="6">
        <v>0</v>
      </c>
      <c r="AF13" s="6">
        <v>0</v>
      </c>
      <c r="AG13" s="6">
        <v>0</v>
      </c>
      <c r="AH13" s="6">
        <v>0</v>
      </c>
      <c r="AI13" s="8">
        <v>40</v>
      </c>
      <c r="AJ13" s="6">
        <v>0</v>
      </c>
      <c r="AK13" s="6" t="s">
        <v>88</v>
      </c>
    </row>
    <row r="14" spans="1:37" x14ac:dyDescent="0.25">
      <c r="A14" s="6">
        <v>8</v>
      </c>
      <c r="B14" s="6" t="s">
        <v>3</v>
      </c>
      <c r="C14" s="6" t="s">
        <v>89</v>
      </c>
      <c r="D14" s="6" t="s">
        <v>90</v>
      </c>
      <c r="E14" s="6" t="s">
        <v>91</v>
      </c>
      <c r="F14" s="8">
        <v>1450.6120000000001</v>
      </c>
      <c r="G14" s="8">
        <v>1450.6120000000001</v>
      </c>
      <c r="H14" s="6">
        <v>0</v>
      </c>
      <c r="I14" s="6">
        <v>0</v>
      </c>
      <c r="J14" s="6" t="s">
        <v>53</v>
      </c>
      <c r="K14" s="8">
        <v>1450.6120000000001</v>
      </c>
      <c r="L14" s="6" t="s">
        <v>53</v>
      </c>
      <c r="M14" s="6" t="s">
        <v>92</v>
      </c>
      <c r="N14" s="6" t="s">
        <v>93</v>
      </c>
      <c r="O14" s="6" t="s">
        <v>0</v>
      </c>
      <c r="P14" s="6" t="s">
        <v>0</v>
      </c>
      <c r="Q14" s="6" t="s">
        <v>0</v>
      </c>
      <c r="R14" s="6" t="s">
        <v>0</v>
      </c>
      <c r="S14" s="6" t="s">
        <v>0</v>
      </c>
      <c r="T14" s="6" t="s">
        <v>0</v>
      </c>
      <c r="U14" s="6" t="s">
        <v>0</v>
      </c>
      <c r="V14" s="8">
        <v>1450.6120000000001</v>
      </c>
      <c r="W14" s="6" t="s">
        <v>0</v>
      </c>
      <c r="X14" s="6" t="s">
        <v>0</v>
      </c>
      <c r="Y14" s="6" t="s">
        <v>0</v>
      </c>
      <c r="Z14" s="6" t="s">
        <v>0</v>
      </c>
      <c r="AA14" s="6" t="s">
        <v>0</v>
      </c>
      <c r="AB14" s="8">
        <v>36.265300000000003</v>
      </c>
      <c r="AC14" s="8">
        <v>40</v>
      </c>
      <c r="AD14" s="6">
        <v>0</v>
      </c>
      <c r="AE14" s="6">
        <v>0</v>
      </c>
      <c r="AF14" s="6">
        <v>0</v>
      </c>
      <c r="AG14" s="6">
        <v>0</v>
      </c>
      <c r="AH14" s="6">
        <v>0</v>
      </c>
      <c r="AI14" s="8">
        <v>40</v>
      </c>
      <c r="AJ14" s="6">
        <v>0</v>
      </c>
      <c r="AK14" s="6" t="s">
        <v>94</v>
      </c>
    </row>
    <row r="15" spans="1:37" x14ac:dyDescent="0.25">
      <c r="A15" s="6">
        <v>9</v>
      </c>
      <c r="B15" s="6" t="s">
        <v>3</v>
      </c>
      <c r="C15" s="6" t="s">
        <v>95</v>
      </c>
      <c r="D15" s="6" t="s">
        <v>96</v>
      </c>
      <c r="E15" s="6" t="s">
        <v>97</v>
      </c>
      <c r="F15" s="8">
        <v>1450.21</v>
      </c>
      <c r="G15" s="8">
        <v>1450.8000000000002</v>
      </c>
      <c r="H15" s="8">
        <v>-0.58799999999999997</v>
      </c>
      <c r="I15" s="6">
        <v>0</v>
      </c>
      <c r="J15" s="6" t="s">
        <v>53</v>
      </c>
      <c r="K15" s="8">
        <v>1450.2120000000002</v>
      </c>
      <c r="L15" s="6" t="s">
        <v>53</v>
      </c>
      <c r="M15" s="6" t="s">
        <v>98</v>
      </c>
      <c r="N15" s="6" t="s">
        <v>99</v>
      </c>
      <c r="O15" s="6" t="s">
        <v>0</v>
      </c>
      <c r="P15" s="6" t="s">
        <v>0</v>
      </c>
      <c r="Q15" s="6" t="s">
        <v>0</v>
      </c>
      <c r="R15" s="6" t="s">
        <v>0</v>
      </c>
      <c r="S15" s="6" t="s">
        <v>0</v>
      </c>
      <c r="T15" s="8">
        <v>1450.8000000000002</v>
      </c>
      <c r="U15" s="6" t="s">
        <v>0</v>
      </c>
      <c r="V15" s="6" t="s">
        <v>0</v>
      </c>
      <c r="W15" s="6" t="s">
        <v>0</v>
      </c>
      <c r="X15" s="6" t="s">
        <v>0</v>
      </c>
      <c r="Y15" s="6" t="s">
        <v>0</v>
      </c>
      <c r="Z15" s="6" t="s">
        <v>0</v>
      </c>
      <c r="AA15" s="6" t="s">
        <v>0</v>
      </c>
      <c r="AB15" s="8">
        <v>36.270000000000003</v>
      </c>
      <c r="AC15" s="8">
        <v>0</v>
      </c>
      <c r="AD15" s="6">
        <v>0</v>
      </c>
      <c r="AE15" s="8">
        <v>1450.21</v>
      </c>
      <c r="AF15" s="6">
        <v>0</v>
      </c>
      <c r="AG15" s="6">
        <v>0</v>
      </c>
      <c r="AH15" s="6">
        <v>0</v>
      </c>
      <c r="AI15" s="6">
        <v>0</v>
      </c>
      <c r="AJ15" s="6">
        <v>0</v>
      </c>
      <c r="AK15" s="6" t="s">
        <v>100</v>
      </c>
    </row>
    <row r="16" spans="1:37" x14ac:dyDescent="0.25">
      <c r="A16" s="6">
        <v>10</v>
      </c>
      <c r="B16" s="6" t="s">
        <v>3</v>
      </c>
      <c r="C16" s="6" t="s">
        <v>101</v>
      </c>
      <c r="D16" s="6" t="s">
        <v>102</v>
      </c>
      <c r="E16" s="6" t="s">
        <v>103</v>
      </c>
      <c r="F16" s="8">
        <v>1450.4</v>
      </c>
      <c r="G16" s="8">
        <v>1450.3999999999999</v>
      </c>
      <c r="H16" s="6">
        <v>0</v>
      </c>
      <c r="I16" s="8">
        <v>2.2737367544323206E-13</v>
      </c>
      <c r="J16" s="6" t="s">
        <v>53</v>
      </c>
      <c r="K16" s="8">
        <v>1450.3999999999999</v>
      </c>
      <c r="L16" s="6" t="s">
        <v>53</v>
      </c>
      <c r="M16" s="6" t="s">
        <v>104</v>
      </c>
      <c r="N16" s="6" t="s">
        <v>105</v>
      </c>
      <c r="O16" s="6" t="s">
        <v>0</v>
      </c>
      <c r="P16" s="6" t="s">
        <v>0</v>
      </c>
      <c r="Q16" s="6" t="s">
        <v>0</v>
      </c>
      <c r="R16" s="6" t="s">
        <v>0</v>
      </c>
      <c r="S16" s="6" t="s">
        <v>0</v>
      </c>
      <c r="T16" s="6" t="s">
        <v>0</v>
      </c>
      <c r="U16" s="6" t="s">
        <v>0</v>
      </c>
      <c r="V16" s="8">
        <v>1450.3999999999999</v>
      </c>
      <c r="W16" s="6" t="s">
        <v>0</v>
      </c>
      <c r="X16" s="6" t="s">
        <v>0</v>
      </c>
      <c r="Y16" s="6" t="s">
        <v>0</v>
      </c>
      <c r="Z16" s="6" t="s">
        <v>0</v>
      </c>
      <c r="AA16" s="6" t="s">
        <v>0</v>
      </c>
      <c r="AB16" s="8">
        <v>36.26</v>
      </c>
      <c r="AC16" s="8">
        <v>0</v>
      </c>
      <c r="AD16" s="6">
        <v>0</v>
      </c>
      <c r="AE16" s="8">
        <v>1450.4</v>
      </c>
      <c r="AF16" s="6">
        <v>0</v>
      </c>
      <c r="AG16" s="6">
        <v>0</v>
      </c>
      <c r="AH16" s="6">
        <v>0</v>
      </c>
      <c r="AI16" s="6">
        <v>0</v>
      </c>
      <c r="AJ16" s="6">
        <v>0</v>
      </c>
      <c r="AK16" s="6" t="s">
        <v>106</v>
      </c>
    </row>
    <row r="17" spans="1:37" ht="6" customHeight="1" x14ac:dyDescent="0.25">
      <c r="A17" s="6">
        <v>11</v>
      </c>
      <c r="B17" s="6" t="s">
        <v>3</v>
      </c>
      <c r="C17" s="6" t="s">
        <v>107</v>
      </c>
      <c r="D17" s="6" t="s">
        <v>108</v>
      </c>
      <c r="E17" s="6" t="s">
        <v>109</v>
      </c>
      <c r="F17" s="8">
        <v>1450.4</v>
      </c>
      <c r="G17" s="8">
        <v>1450.3999999999999</v>
      </c>
      <c r="H17" s="6">
        <v>0</v>
      </c>
      <c r="I17" s="8">
        <v>2.2737367544323206E-13</v>
      </c>
      <c r="J17" s="6" t="s">
        <v>53</v>
      </c>
      <c r="K17" s="8">
        <v>1450.3999999999999</v>
      </c>
      <c r="L17" s="6" t="s">
        <v>53</v>
      </c>
      <c r="M17" s="6" t="s">
        <v>110</v>
      </c>
      <c r="N17" s="6" t="s">
        <v>111</v>
      </c>
      <c r="O17" s="6" t="s">
        <v>0</v>
      </c>
      <c r="P17" s="6" t="s">
        <v>0</v>
      </c>
      <c r="Q17" s="6" t="s">
        <v>0</v>
      </c>
      <c r="R17" s="6" t="s">
        <v>0</v>
      </c>
      <c r="S17" s="6" t="s">
        <v>0</v>
      </c>
      <c r="T17" s="6" t="s">
        <v>0</v>
      </c>
      <c r="U17" s="6" t="s">
        <v>0</v>
      </c>
      <c r="V17" s="8">
        <v>1450.3999999999999</v>
      </c>
      <c r="W17" s="6" t="s">
        <v>0</v>
      </c>
      <c r="X17" s="6" t="s">
        <v>0</v>
      </c>
      <c r="Y17" s="6" t="s">
        <v>0</v>
      </c>
      <c r="Z17" s="6" t="s">
        <v>0</v>
      </c>
      <c r="AA17" s="6" t="s">
        <v>0</v>
      </c>
      <c r="AB17" s="8">
        <v>36.26</v>
      </c>
      <c r="AC17" s="8">
        <v>0</v>
      </c>
      <c r="AD17" s="6">
        <v>0</v>
      </c>
      <c r="AE17" s="8">
        <v>1450.4</v>
      </c>
      <c r="AF17" s="6">
        <v>0</v>
      </c>
      <c r="AG17" s="6">
        <v>0</v>
      </c>
      <c r="AH17" s="6">
        <v>0</v>
      </c>
      <c r="AI17" s="6">
        <v>0</v>
      </c>
      <c r="AJ17" s="6">
        <v>0</v>
      </c>
      <c r="AK17" s="6" t="s">
        <v>112</v>
      </c>
    </row>
    <row r="18" spans="1:37" hidden="1" x14ac:dyDescent="0.25">
      <c r="A18" s="6">
        <v>12</v>
      </c>
      <c r="B18" s="6" t="s">
        <v>3</v>
      </c>
      <c r="C18" s="6" t="s">
        <v>113</v>
      </c>
      <c r="D18" s="6" t="s">
        <v>114</v>
      </c>
      <c r="E18" s="6" t="s">
        <v>115</v>
      </c>
      <c r="F18" s="8">
        <v>1450.9</v>
      </c>
      <c r="G18" s="8">
        <v>1450.9</v>
      </c>
      <c r="H18" s="6">
        <v>0</v>
      </c>
      <c r="I18" s="6">
        <v>0</v>
      </c>
      <c r="J18" s="6" t="s">
        <v>53</v>
      </c>
      <c r="K18" s="8">
        <v>1450.9</v>
      </c>
      <c r="L18" s="6" t="s">
        <v>53</v>
      </c>
      <c r="M18" s="6" t="s">
        <v>116</v>
      </c>
      <c r="N18" s="6" t="s">
        <v>117</v>
      </c>
      <c r="O18" s="6" t="s">
        <v>0</v>
      </c>
      <c r="P18" s="6" t="s">
        <v>0</v>
      </c>
      <c r="Q18" s="6" t="s">
        <v>0</v>
      </c>
      <c r="R18" s="6" t="s">
        <v>0</v>
      </c>
      <c r="S18" s="6" t="s">
        <v>0</v>
      </c>
      <c r="T18" s="8">
        <v>1450.9</v>
      </c>
      <c r="U18" s="6" t="s">
        <v>0</v>
      </c>
      <c r="V18" s="6" t="s">
        <v>0</v>
      </c>
      <c r="W18" s="6" t="s">
        <v>0</v>
      </c>
      <c r="X18" s="6" t="s">
        <v>0</v>
      </c>
      <c r="Y18" s="6" t="s">
        <v>0</v>
      </c>
      <c r="Z18" s="6" t="s">
        <v>0</v>
      </c>
      <c r="AA18" s="6" t="s">
        <v>0</v>
      </c>
      <c r="AB18" s="8">
        <v>36.272500000000001</v>
      </c>
      <c r="AC18" s="8">
        <v>0</v>
      </c>
      <c r="AD18" s="6">
        <v>0</v>
      </c>
      <c r="AE18" s="6">
        <v>0</v>
      </c>
      <c r="AF18" s="6">
        <v>0</v>
      </c>
      <c r="AG18" s="6">
        <v>0</v>
      </c>
      <c r="AH18" s="8">
        <v>1450.9</v>
      </c>
      <c r="AI18" s="6">
        <v>0</v>
      </c>
      <c r="AJ18" s="6">
        <v>0</v>
      </c>
      <c r="AK18" s="6" t="s">
        <v>118</v>
      </c>
    </row>
    <row r="19" spans="1:37" hidden="1" x14ac:dyDescent="0.25">
      <c r="A19" s="6">
        <v>13</v>
      </c>
      <c r="B19" s="6" t="s">
        <v>3</v>
      </c>
      <c r="C19" s="6" t="s">
        <v>119</v>
      </c>
      <c r="D19" s="6" t="s">
        <v>120</v>
      </c>
      <c r="E19" s="6" t="s">
        <v>121</v>
      </c>
      <c r="F19" s="8">
        <v>2901.2</v>
      </c>
      <c r="G19" s="8">
        <v>2901.2</v>
      </c>
      <c r="H19" s="6">
        <v>0</v>
      </c>
      <c r="I19" s="6">
        <v>0</v>
      </c>
      <c r="J19" s="6" t="s">
        <v>53</v>
      </c>
      <c r="K19" s="8">
        <v>2901.2</v>
      </c>
      <c r="L19" s="6" t="s">
        <v>53</v>
      </c>
      <c r="M19" s="6" t="s">
        <v>122</v>
      </c>
      <c r="N19" s="6" t="s">
        <v>123</v>
      </c>
      <c r="O19" s="6" t="s">
        <v>0</v>
      </c>
      <c r="P19" s="6" t="s">
        <v>0</v>
      </c>
      <c r="Q19" s="6" t="s">
        <v>0</v>
      </c>
      <c r="R19" s="6" t="s">
        <v>0</v>
      </c>
      <c r="S19" s="6" t="s">
        <v>0</v>
      </c>
      <c r="T19" s="6" t="s">
        <v>0</v>
      </c>
      <c r="U19" s="8">
        <v>1450.6</v>
      </c>
      <c r="V19" s="8">
        <v>1450.6</v>
      </c>
      <c r="W19" s="6" t="s">
        <v>0</v>
      </c>
      <c r="X19" s="6" t="s">
        <v>0</v>
      </c>
      <c r="Y19" s="6" t="s">
        <v>0</v>
      </c>
      <c r="Z19" s="6" t="s">
        <v>0</v>
      </c>
      <c r="AA19" s="6" t="s">
        <v>0</v>
      </c>
      <c r="AB19" s="8">
        <v>36.265000000000001</v>
      </c>
      <c r="AC19" s="8">
        <v>0</v>
      </c>
      <c r="AD19" s="6">
        <v>0</v>
      </c>
      <c r="AE19" s="8">
        <v>1450.6</v>
      </c>
      <c r="AF19" s="6">
        <v>0</v>
      </c>
      <c r="AG19" s="6">
        <v>0</v>
      </c>
      <c r="AH19" s="6">
        <v>0</v>
      </c>
      <c r="AI19" s="6">
        <v>0</v>
      </c>
      <c r="AJ19" s="6">
        <v>0</v>
      </c>
      <c r="AK19" s="6" t="s">
        <v>124</v>
      </c>
    </row>
    <row r="20" spans="1:37" hidden="1" x14ac:dyDescent="0.25">
      <c r="A20" s="6">
        <v>14</v>
      </c>
      <c r="B20" s="6" t="s">
        <v>3</v>
      </c>
      <c r="C20" s="6" t="s">
        <v>125</v>
      </c>
      <c r="D20" s="6" t="s">
        <v>126</v>
      </c>
      <c r="E20" s="6" t="s">
        <v>127</v>
      </c>
      <c r="F20" s="8">
        <v>1450.61</v>
      </c>
      <c r="G20" s="8">
        <v>1450.6120000000001</v>
      </c>
      <c r="H20" s="6">
        <v>0</v>
      </c>
      <c r="I20" s="6">
        <v>0</v>
      </c>
      <c r="J20" s="6" t="s">
        <v>53</v>
      </c>
      <c r="K20" s="8">
        <v>1450.6120000000001</v>
      </c>
      <c r="L20" s="6" t="s">
        <v>53</v>
      </c>
      <c r="M20" s="6" t="s">
        <v>128</v>
      </c>
      <c r="N20" s="6" t="s">
        <v>129</v>
      </c>
      <c r="O20" s="6" t="s">
        <v>0</v>
      </c>
      <c r="P20" s="6" t="s">
        <v>0</v>
      </c>
      <c r="Q20" s="6" t="s">
        <v>0</v>
      </c>
      <c r="R20" s="6" t="s">
        <v>0</v>
      </c>
      <c r="S20" s="6" t="s">
        <v>0</v>
      </c>
      <c r="T20" s="6" t="s">
        <v>0</v>
      </c>
      <c r="U20" s="6" t="s">
        <v>0</v>
      </c>
      <c r="V20" s="6" t="s">
        <v>0</v>
      </c>
      <c r="W20" s="8">
        <v>1450.6120000000001</v>
      </c>
      <c r="X20" s="6" t="s">
        <v>0</v>
      </c>
      <c r="Y20" s="6" t="s">
        <v>0</v>
      </c>
      <c r="Z20" s="6" t="s">
        <v>0</v>
      </c>
      <c r="AA20" s="6" t="s">
        <v>0</v>
      </c>
      <c r="AB20" s="8">
        <v>36.265300000000003</v>
      </c>
      <c r="AC20" s="8">
        <v>0</v>
      </c>
      <c r="AD20" s="6">
        <v>0</v>
      </c>
      <c r="AE20" s="6">
        <v>0</v>
      </c>
      <c r="AF20" s="8">
        <v>1450.61</v>
      </c>
      <c r="AG20" s="6">
        <v>0</v>
      </c>
      <c r="AH20" s="6">
        <v>0</v>
      </c>
      <c r="AI20" s="6">
        <v>0</v>
      </c>
      <c r="AJ20" s="6">
        <v>0</v>
      </c>
      <c r="AK20" s="6" t="s">
        <v>130</v>
      </c>
    </row>
    <row r="21" spans="1:37" hidden="1" x14ac:dyDescent="0.25">
      <c r="A21" s="6">
        <v>15</v>
      </c>
      <c r="B21" s="6" t="s">
        <v>3</v>
      </c>
      <c r="C21" s="6" t="s">
        <v>131</v>
      </c>
      <c r="D21" s="6" t="s">
        <v>132</v>
      </c>
      <c r="E21" s="6" t="s">
        <v>133</v>
      </c>
      <c r="F21" s="8">
        <v>3300</v>
      </c>
      <c r="G21" s="8">
        <v>2906</v>
      </c>
      <c r="H21" s="8">
        <v>-1.0000000000218279E-2</v>
      </c>
      <c r="I21" s="8">
        <v>394.01000000000022</v>
      </c>
      <c r="J21" s="6" t="s">
        <v>53</v>
      </c>
      <c r="K21" s="8">
        <v>2905.99</v>
      </c>
      <c r="L21" s="6" t="s">
        <v>53</v>
      </c>
      <c r="M21" s="6" t="s">
        <v>134</v>
      </c>
      <c r="N21" s="6" t="s">
        <v>135</v>
      </c>
      <c r="O21" s="6" t="s">
        <v>0</v>
      </c>
      <c r="P21" s="6" t="s">
        <v>0</v>
      </c>
      <c r="Q21" s="6" t="s">
        <v>0</v>
      </c>
      <c r="R21" s="6" t="s">
        <v>0</v>
      </c>
      <c r="S21" s="6" t="s">
        <v>0</v>
      </c>
      <c r="T21" s="8">
        <v>1453</v>
      </c>
      <c r="U21" s="8">
        <v>1453</v>
      </c>
      <c r="V21" s="6" t="s">
        <v>0</v>
      </c>
      <c r="W21" s="6" t="s">
        <v>0</v>
      </c>
      <c r="X21" s="6" t="s">
        <v>0</v>
      </c>
      <c r="Y21" s="6" t="s">
        <v>0</v>
      </c>
      <c r="Z21" s="6" t="s">
        <v>0</v>
      </c>
      <c r="AA21" s="6" t="s">
        <v>0</v>
      </c>
      <c r="AB21" s="8">
        <v>36.325000000000003</v>
      </c>
      <c r="AC21" s="8">
        <v>0</v>
      </c>
      <c r="AD21" s="6">
        <v>0</v>
      </c>
      <c r="AE21" s="8">
        <v>3300</v>
      </c>
      <c r="AF21" s="6">
        <v>0</v>
      </c>
      <c r="AG21" s="6">
        <v>0</v>
      </c>
      <c r="AH21" s="6">
        <v>0</v>
      </c>
      <c r="AI21" s="6">
        <v>0</v>
      </c>
      <c r="AJ21" s="6">
        <v>0</v>
      </c>
      <c r="AK21" s="6" t="s">
        <v>136</v>
      </c>
    </row>
    <row r="22" spans="1:37" x14ac:dyDescent="0.25">
      <c r="A22" s="6">
        <v>16</v>
      </c>
      <c r="B22" s="6" t="s">
        <v>3</v>
      </c>
      <c r="C22" s="6" t="s">
        <v>137</v>
      </c>
      <c r="D22" s="6" t="s">
        <v>138</v>
      </c>
      <c r="E22" s="6" t="s">
        <v>139</v>
      </c>
      <c r="F22" s="8">
        <v>1450.61</v>
      </c>
      <c r="G22" s="8">
        <v>1450.6120000000001</v>
      </c>
      <c r="H22" s="6">
        <v>0</v>
      </c>
      <c r="I22" s="6">
        <v>0</v>
      </c>
      <c r="J22" s="6" t="s">
        <v>53</v>
      </c>
      <c r="K22" s="8">
        <v>1450.6120000000001</v>
      </c>
      <c r="L22" s="6" t="s">
        <v>53</v>
      </c>
      <c r="M22" s="6" t="s">
        <v>140</v>
      </c>
      <c r="N22" s="6" t="s">
        <v>141</v>
      </c>
      <c r="O22" s="6" t="s">
        <v>0</v>
      </c>
      <c r="P22" s="6" t="s">
        <v>0</v>
      </c>
      <c r="Q22" s="6" t="s">
        <v>0</v>
      </c>
      <c r="R22" s="6" t="s">
        <v>0</v>
      </c>
      <c r="S22" s="6" t="s">
        <v>0</v>
      </c>
      <c r="T22" s="6" t="s">
        <v>0</v>
      </c>
      <c r="U22" s="6" t="s">
        <v>0</v>
      </c>
      <c r="V22" s="8">
        <v>1450.6120000000001</v>
      </c>
      <c r="W22" s="6" t="s">
        <v>0</v>
      </c>
      <c r="X22" s="6" t="s">
        <v>0</v>
      </c>
      <c r="Y22" s="6" t="s">
        <v>0</v>
      </c>
      <c r="Z22" s="6" t="s">
        <v>0</v>
      </c>
      <c r="AA22" s="6" t="s">
        <v>0</v>
      </c>
      <c r="AB22" s="8">
        <v>36.265300000000003</v>
      </c>
      <c r="AC22" s="8">
        <v>0</v>
      </c>
      <c r="AD22" s="6">
        <v>0</v>
      </c>
      <c r="AE22" s="6">
        <v>0</v>
      </c>
      <c r="AF22" s="8">
        <v>1450.61</v>
      </c>
      <c r="AG22" s="6">
        <v>0</v>
      </c>
      <c r="AH22" s="6">
        <v>0</v>
      </c>
      <c r="AI22" s="6">
        <v>0</v>
      </c>
      <c r="AJ22" s="6">
        <v>0</v>
      </c>
      <c r="AK22" s="6" t="s">
        <v>142</v>
      </c>
    </row>
    <row r="23" spans="1:37" x14ac:dyDescent="0.25">
      <c r="A23" s="6">
        <v>17</v>
      </c>
      <c r="B23" s="6" t="s">
        <v>3</v>
      </c>
      <c r="C23" s="6" t="s">
        <v>143</v>
      </c>
      <c r="D23" s="6" t="s">
        <v>144</v>
      </c>
      <c r="E23" s="6" t="s">
        <v>145</v>
      </c>
      <c r="F23" s="8">
        <v>4351.8360000000002</v>
      </c>
      <c r="G23" s="8">
        <v>4351.8360000000002</v>
      </c>
      <c r="H23" s="6">
        <v>0</v>
      </c>
      <c r="I23" s="6">
        <v>0</v>
      </c>
      <c r="J23" s="6" t="s">
        <v>53</v>
      </c>
      <c r="K23" s="8">
        <v>4351.8360000000002</v>
      </c>
      <c r="L23" s="6" t="s">
        <v>53</v>
      </c>
      <c r="M23" s="6" t="s">
        <v>146</v>
      </c>
      <c r="N23" s="6" t="s">
        <v>147</v>
      </c>
      <c r="O23" s="6" t="s">
        <v>0</v>
      </c>
      <c r="P23" s="6" t="s">
        <v>0</v>
      </c>
      <c r="Q23" s="6" t="s">
        <v>0</v>
      </c>
      <c r="R23" s="6" t="s">
        <v>0</v>
      </c>
      <c r="S23" s="6" t="s">
        <v>0</v>
      </c>
      <c r="T23" s="8">
        <v>1450.6120000000001</v>
      </c>
      <c r="U23" s="8">
        <v>1450.6120000000001</v>
      </c>
      <c r="V23" s="8">
        <v>1450.6120000000001</v>
      </c>
      <c r="W23" s="6" t="s">
        <v>0</v>
      </c>
      <c r="X23" s="6" t="s">
        <v>0</v>
      </c>
      <c r="Y23" s="6" t="s">
        <v>0</v>
      </c>
      <c r="Z23" s="6" t="s">
        <v>0</v>
      </c>
      <c r="AA23" s="6" t="s">
        <v>0</v>
      </c>
      <c r="AB23" s="8">
        <v>36.265300000000003</v>
      </c>
      <c r="AC23" s="8">
        <v>120</v>
      </c>
      <c r="AD23" s="6">
        <v>0</v>
      </c>
      <c r="AE23" s="6">
        <v>0</v>
      </c>
      <c r="AF23" s="6">
        <v>0</v>
      </c>
      <c r="AG23" s="6">
        <v>0</v>
      </c>
      <c r="AH23" s="6">
        <v>0</v>
      </c>
      <c r="AI23" s="8">
        <v>120</v>
      </c>
      <c r="AJ23" s="6">
        <v>0</v>
      </c>
      <c r="AK23" s="6" t="s">
        <v>148</v>
      </c>
    </row>
    <row r="24" spans="1:37" x14ac:dyDescent="0.25">
      <c r="A24" s="6">
        <v>18</v>
      </c>
      <c r="B24" s="6" t="s">
        <v>3</v>
      </c>
      <c r="C24" s="6" t="s">
        <v>149</v>
      </c>
      <c r="D24" s="6" t="s">
        <v>150</v>
      </c>
      <c r="E24" s="6" t="s">
        <v>151</v>
      </c>
      <c r="F24" s="8">
        <v>1450.61</v>
      </c>
      <c r="G24" s="8">
        <v>1450.6120000000001</v>
      </c>
      <c r="H24" s="6">
        <v>0</v>
      </c>
      <c r="I24" s="6">
        <v>0</v>
      </c>
      <c r="J24" s="6" t="s">
        <v>53</v>
      </c>
      <c r="K24" s="8">
        <v>1450.6120000000001</v>
      </c>
      <c r="L24" s="6" t="s">
        <v>53</v>
      </c>
      <c r="M24" s="6" t="s">
        <v>152</v>
      </c>
      <c r="N24" s="6" t="s">
        <v>153</v>
      </c>
      <c r="O24" s="6" t="s">
        <v>0</v>
      </c>
      <c r="P24" s="6" t="s">
        <v>0</v>
      </c>
      <c r="Q24" s="6" t="s">
        <v>0</v>
      </c>
      <c r="R24" s="6" t="s">
        <v>0</v>
      </c>
      <c r="S24" s="6" t="s">
        <v>0</v>
      </c>
      <c r="T24" s="6" t="s">
        <v>0</v>
      </c>
      <c r="U24" s="6" t="s">
        <v>0</v>
      </c>
      <c r="V24" s="8">
        <v>1450.6120000000001</v>
      </c>
      <c r="W24" s="6" t="s">
        <v>0</v>
      </c>
      <c r="X24" s="6" t="s">
        <v>0</v>
      </c>
      <c r="Y24" s="6" t="s">
        <v>0</v>
      </c>
      <c r="Z24" s="6" t="s">
        <v>0</v>
      </c>
      <c r="AA24" s="6" t="s">
        <v>0</v>
      </c>
      <c r="AB24" s="8">
        <v>36.265300000000003</v>
      </c>
      <c r="AC24" s="8">
        <v>0</v>
      </c>
      <c r="AD24" s="6">
        <v>0</v>
      </c>
      <c r="AE24" s="6">
        <v>0</v>
      </c>
      <c r="AF24" s="6">
        <v>0</v>
      </c>
      <c r="AG24" s="6">
        <v>0</v>
      </c>
      <c r="AH24" s="8">
        <v>1450.61</v>
      </c>
      <c r="AI24" s="6">
        <v>0</v>
      </c>
      <c r="AJ24" s="6">
        <v>0</v>
      </c>
      <c r="AK24" s="6" t="s">
        <v>154</v>
      </c>
    </row>
    <row r="25" spans="1:37" x14ac:dyDescent="0.25">
      <c r="A25" s="6">
        <v>19</v>
      </c>
      <c r="B25" s="6" t="s">
        <v>3</v>
      </c>
      <c r="C25" s="6" t="s">
        <v>155</v>
      </c>
      <c r="D25" s="6" t="s">
        <v>156</v>
      </c>
      <c r="E25" s="6" t="s">
        <v>157</v>
      </c>
      <c r="F25" s="8">
        <v>1450.61</v>
      </c>
      <c r="G25" s="8">
        <v>1450.6120000000001</v>
      </c>
      <c r="H25" s="6">
        <v>0</v>
      </c>
      <c r="I25" s="6">
        <v>0</v>
      </c>
      <c r="J25" s="6" t="s">
        <v>53</v>
      </c>
      <c r="K25" s="8">
        <v>1450.6120000000001</v>
      </c>
      <c r="L25" s="6" t="s">
        <v>53</v>
      </c>
      <c r="M25" s="6" t="s">
        <v>158</v>
      </c>
      <c r="N25" s="6" t="s">
        <v>159</v>
      </c>
      <c r="O25" s="6" t="s">
        <v>0</v>
      </c>
      <c r="P25" s="6" t="s">
        <v>0</v>
      </c>
      <c r="Q25" s="6" t="s">
        <v>0</v>
      </c>
      <c r="R25" s="6" t="s">
        <v>0</v>
      </c>
      <c r="S25" s="6" t="s">
        <v>0</v>
      </c>
      <c r="T25" s="6" t="s">
        <v>0</v>
      </c>
      <c r="U25" s="6" t="s">
        <v>0</v>
      </c>
      <c r="V25" s="8">
        <v>1450.6120000000001</v>
      </c>
      <c r="W25" s="6" t="s">
        <v>0</v>
      </c>
      <c r="X25" s="6" t="s">
        <v>0</v>
      </c>
      <c r="Y25" s="6" t="s">
        <v>0</v>
      </c>
      <c r="Z25" s="6" t="s">
        <v>0</v>
      </c>
      <c r="AA25" s="6" t="s">
        <v>0</v>
      </c>
      <c r="AB25" s="8">
        <v>36.265300000000003</v>
      </c>
      <c r="AC25" s="8">
        <v>0</v>
      </c>
      <c r="AD25" s="6">
        <v>0</v>
      </c>
      <c r="AE25" s="8">
        <v>1450.61</v>
      </c>
      <c r="AF25" s="6">
        <v>0</v>
      </c>
      <c r="AG25" s="6">
        <v>0</v>
      </c>
      <c r="AH25" s="6">
        <v>0</v>
      </c>
      <c r="AI25" s="6">
        <v>0</v>
      </c>
      <c r="AJ25" s="6">
        <v>0</v>
      </c>
      <c r="AK25" s="6" t="s">
        <v>160</v>
      </c>
    </row>
    <row r="26" spans="1:37" x14ac:dyDescent="0.25">
      <c r="A26" s="6">
        <v>20</v>
      </c>
      <c r="B26" s="6" t="s">
        <v>3</v>
      </c>
      <c r="C26" s="6" t="s">
        <v>161</v>
      </c>
      <c r="D26" s="6" t="s">
        <v>162</v>
      </c>
      <c r="E26" s="6" t="s">
        <v>163</v>
      </c>
      <c r="F26" s="8">
        <v>1450.4</v>
      </c>
      <c r="G26" s="8">
        <v>1450.6120000000001</v>
      </c>
      <c r="H26" s="8">
        <v>-7.2100000000000364</v>
      </c>
      <c r="I26" s="8">
        <v>6.9980000000000473</v>
      </c>
      <c r="J26" s="6" t="s">
        <v>53</v>
      </c>
      <c r="K26" s="8">
        <v>1443.402</v>
      </c>
      <c r="L26" s="6" t="s">
        <v>53</v>
      </c>
      <c r="M26" s="6" t="s">
        <v>164</v>
      </c>
      <c r="N26" s="6" t="s">
        <v>165</v>
      </c>
      <c r="O26" s="6" t="s">
        <v>0</v>
      </c>
      <c r="P26" s="6" t="s">
        <v>0</v>
      </c>
      <c r="Q26" s="6" t="s">
        <v>0</v>
      </c>
      <c r="R26" s="6" t="s">
        <v>0</v>
      </c>
      <c r="S26" s="6" t="s">
        <v>0</v>
      </c>
      <c r="T26" s="6" t="s">
        <v>0</v>
      </c>
      <c r="U26" s="6" t="s">
        <v>0</v>
      </c>
      <c r="V26" s="8">
        <v>1450.6120000000001</v>
      </c>
      <c r="W26" s="6" t="s">
        <v>0</v>
      </c>
      <c r="X26" s="6" t="s">
        <v>0</v>
      </c>
      <c r="Y26" s="6" t="s">
        <v>0</v>
      </c>
      <c r="Z26" s="6" t="s">
        <v>0</v>
      </c>
      <c r="AA26" s="6" t="s">
        <v>0</v>
      </c>
      <c r="AB26" s="8">
        <v>36.265300000000003</v>
      </c>
      <c r="AC26" s="8">
        <v>0</v>
      </c>
      <c r="AD26" s="6">
        <v>0</v>
      </c>
      <c r="AE26" s="6">
        <v>0</v>
      </c>
      <c r="AF26" s="6">
        <v>0</v>
      </c>
      <c r="AG26" s="6">
        <v>0</v>
      </c>
      <c r="AH26" s="8">
        <v>1450.4</v>
      </c>
      <c r="AI26" s="6">
        <v>0</v>
      </c>
      <c r="AJ26" s="6">
        <v>0</v>
      </c>
      <c r="AK26" s="6" t="s">
        <v>166</v>
      </c>
    </row>
    <row r="27" spans="1:37" x14ac:dyDescent="0.25">
      <c r="A27" s="6">
        <v>21</v>
      </c>
      <c r="B27" s="6" t="s">
        <v>3</v>
      </c>
      <c r="C27" s="6" t="s">
        <v>167</v>
      </c>
      <c r="D27" s="6" t="s">
        <v>168</v>
      </c>
      <c r="E27" s="6" t="s">
        <v>169</v>
      </c>
      <c r="F27" s="8">
        <v>1450.62</v>
      </c>
      <c r="G27" s="8">
        <v>1450.6120000000001</v>
      </c>
      <c r="H27" s="6">
        <v>0</v>
      </c>
      <c r="I27" s="8">
        <v>7.9999999998108251E-3</v>
      </c>
      <c r="J27" s="6" t="s">
        <v>53</v>
      </c>
      <c r="K27" s="8">
        <v>1450.6120000000001</v>
      </c>
      <c r="L27" s="6" t="s">
        <v>53</v>
      </c>
      <c r="M27" s="6" t="s">
        <v>170</v>
      </c>
      <c r="N27" s="6" t="s">
        <v>171</v>
      </c>
      <c r="O27" s="6" t="s">
        <v>0</v>
      </c>
      <c r="P27" s="6" t="s">
        <v>0</v>
      </c>
      <c r="Q27" s="6" t="s">
        <v>0</v>
      </c>
      <c r="R27" s="6" t="s">
        <v>0</v>
      </c>
      <c r="S27" s="6" t="s">
        <v>0</v>
      </c>
      <c r="T27" s="6" t="s">
        <v>0</v>
      </c>
      <c r="U27" s="6" t="s">
        <v>0</v>
      </c>
      <c r="V27" s="8">
        <v>1450.6120000000001</v>
      </c>
      <c r="W27" s="6" t="s">
        <v>0</v>
      </c>
      <c r="X27" s="6" t="s">
        <v>0</v>
      </c>
      <c r="Y27" s="6" t="s">
        <v>0</v>
      </c>
      <c r="Z27" s="6" t="s">
        <v>0</v>
      </c>
      <c r="AA27" s="6" t="s">
        <v>0</v>
      </c>
      <c r="AB27" s="8">
        <v>36.265300000000003</v>
      </c>
      <c r="AC27" s="8">
        <v>0</v>
      </c>
      <c r="AD27" s="6">
        <v>0</v>
      </c>
      <c r="AE27" s="8">
        <v>1450.62</v>
      </c>
      <c r="AF27" s="6">
        <v>0</v>
      </c>
      <c r="AG27" s="6">
        <v>0</v>
      </c>
      <c r="AH27" s="6">
        <v>0</v>
      </c>
      <c r="AI27" s="6">
        <v>0</v>
      </c>
      <c r="AJ27" s="6">
        <v>0</v>
      </c>
      <c r="AK27" s="6" t="s">
        <v>172</v>
      </c>
    </row>
    <row r="28" spans="1:37" ht="15.75" thickBot="1" x14ac:dyDescent="0.3">
      <c r="A28" s="6">
        <v>22</v>
      </c>
      <c r="B28" s="6" t="s">
        <v>3</v>
      </c>
      <c r="C28" s="6" t="s">
        <v>173</v>
      </c>
      <c r="D28" s="6" t="s">
        <v>174</v>
      </c>
      <c r="E28" s="6" t="s">
        <v>175</v>
      </c>
      <c r="F28" s="7">
        <v>5076.6019999999999</v>
      </c>
      <c r="G28" s="7">
        <v>5803.2160000000003</v>
      </c>
      <c r="H28" s="7">
        <v>-726.61999999999989</v>
      </c>
      <c r="I28" s="7">
        <v>5.9999999994033715E-3</v>
      </c>
      <c r="J28" s="6" t="s">
        <v>53</v>
      </c>
      <c r="K28" s="7">
        <v>5076.5960000000005</v>
      </c>
      <c r="L28" s="6" t="s">
        <v>53</v>
      </c>
      <c r="M28" s="6" t="s">
        <v>176</v>
      </c>
      <c r="N28" s="6" t="s">
        <v>177</v>
      </c>
      <c r="O28" s="5" t="s">
        <v>0</v>
      </c>
      <c r="P28" s="5" t="s">
        <v>0</v>
      </c>
      <c r="Q28" s="5" t="s">
        <v>0</v>
      </c>
      <c r="R28" s="5" t="s">
        <v>0</v>
      </c>
      <c r="S28" s="7">
        <v>1450.8040000000001</v>
      </c>
      <c r="T28" s="7">
        <v>1450.8040000000001</v>
      </c>
      <c r="U28" s="7">
        <v>1450.8040000000001</v>
      </c>
      <c r="V28" s="7">
        <v>1450.8040000000001</v>
      </c>
      <c r="W28" s="5" t="s">
        <v>0</v>
      </c>
      <c r="X28" s="5" t="s">
        <v>0</v>
      </c>
      <c r="Y28" s="5" t="s">
        <v>0</v>
      </c>
      <c r="Z28" s="5" t="s">
        <v>0</v>
      </c>
      <c r="AA28" s="6" t="s">
        <v>0</v>
      </c>
      <c r="AB28" s="8">
        <v>36.270099999999999</v>
      </c>
      <c r="AC28" s="7">
        <v>20</v>
      </c>
      <c r="AD28" s="5">
        <v>0</v>
      </c>
      <c r="AE28" s="7">
        <v>4351.2</v>
      </c>
      <c r="AF28" s="5">
        <v>0</v>
      </c>
      <c r="AG28" s="5">
        <v>0</v>
      </c>
      <c r="AH28" s="5">
        <v>0</v>
      </c>
      <c r="AI28" s="7">
        <v>20</v>
      </c>
      <c r="AJ28" s="5">
        <v>0</v>
      </c>
      <c r="AK28" s="6" t="s">
        <v>178</v>
      </c>
    </row>
    <row r="29" spans="1:37" ht="15.75" thickBot="1" x14ac:dyDescent="0.3">
      <c r="F29" s="10">
        <f>SUM(F7,F8,F9,F10,F12,F13,F14,F15,F16,F17,F18,F19,F20,F21,F22,F23,F24,F25,F26,F27,F28)</f>
        <v>44639.100000000013</v>
      </c>
      <c r="G29" s="10">
        <f>SUM(G7,G8,G9,G10,G12,G13,G14,G15,G16,G17,G18,G19,G20,G21,G22,G23,G24,G25,G26,G27,G28)</f>
        <v>44999.520000000011</v>
      </c>
      <c r="H29" s="10">
        <f>SUM(H7,H8,H9,H10,H12,H13,H14,H15,H16,H17,H18,H19,H20,H21,H22,H23,H24,H25,H26,H27,H28)</f>
        <v>-761.4340000000002</v>
      </c>
      <c r="I29" s="11">
        <f>SUM(I7,I8,I9,I10,I12,I13,I14,I15,I16,I17,I18,I19,I20,I21,I22,I23,I24,I25,I26,I27,I28)</f>
        <v>401.02199999999993</v>
      </c>
      <c r="K29" s="11">
        <f>SUM(K7,K8,K9,K10,K12,K13,K14,K15,K16,K17,K18,K19,K20,K21,K22,K23,K24,K25,K26,K27,K28)</f>
        <v>44238.08600000001</v>
      </c>
      <c r="O29" s="10">
        <f>SUM(O7,O8,O9,O10,O12,O13,O14,O15,O16,O17,O18,O19,O20,O21,O22,O23,O24,O25,O26,O27,O28)</f>
        <v>0</v>
      </c>
      <c r="P29" s="10">
        <f>SUM(P7,P8,P9,P10,P12,P13,P14,P15,P16,P17,P18,P19,P20,P21,P22,P23,P24,P25,P26,P27,P28)</f>
        <v>0</v>
      </c>
      <c r="Q29" s="10">
        <f>SUM(Q7,Q8,Q9,Q10,Q12,Q13,Q14,Q15,Q16,Q17,Q18,Q19,Q20,Q21,Q22,Q23,Q24,Q25,Q26,Q27,Q28)</f>
        <v>1450.6120000000001</v>
      </c>
      <c r="R29" s="10">
        <f>SUM(R7,R8,R9,R10,R12,R13,R14,R15,R16,R17,R18,R19,R20,R21,R22,R23,R24,R25,R26,R27,R28)</f>
        <v>1450.6120000000001</v>
      </c>
      <c r="S29" s="10">
        <f>SUM(S7,S8,S9,S10,S12,S13,S14,S15,S16,S17,S18,S19,S20,S21,S22,S23,S24,S25,S26,S27,S28)</f>
        <v>1450.8040000000001</v>
      </c>
      <c r="T29" s="10">
        <f>SUM(T7,T8,T9,T10,T12,T13,T14,T15,T16,T17,T18,T19,T20,T21,T22,T23,T24,T25,T26,T27,T28)</f>
        <v>7256.1160000000009</v>
      </c>
      <c r="U29" s="10">
        <f>SUM(U7,U8,U9,U10,U12,U13,U14,U15,U16,U17,U18,U19,U20,U21,U22,U23,U24,U25,U26,U27,U28)</f>
        <v>10181.828000000001</v>
      </c>
      <c r="V29" s="10">
        <f>SUM(V7,V8,V9,V10,V12,V13,V14,V15,V16,V17,V18,V19,V20,V21,V22,V23,V24,V25,V26,V27,V28)</f>
        <v>20308.324000000004</v>
      </c>
      <c r="W29" s="10">
        <f>SUM(W7,W8,W9,W10,W12,W13,W14,W15,W16,W17,W18,W19,W20,W21,W22,W23,W24,W25,W26,W27,W28)</f>
        <v>1450.6120000000001</v>
      </c>
      <c r="X29" s="10">
        <f>SUM(X7,X8,X9,X10,X12,X13,X14,X15,X16,X17,X18,X19,X20,X21,X22,X23,X24,X25,X26,X27,X28)</f>
        <v>0</v>
      </c>
      <c r="Y29" s="10">
        <f>SUM(Y7,Y8,Y9,Y10,Y12,Y13,Y14,Y15,Y16,Y17,Y18,Y19,Y20,Y21,Y22,Y23,Y24,Y25,Y26,Y27,Y28)</f>
        <v>0</v>
      </c>
      <c r="Z29" s="11">
        <f>SUM(Z7,Z8,Z9,Z10,Z12,Z13,Z14,Z15,Z16,Z17,Z18,Z19,Z20,Z21,Z22,Z23,Z24,Z25,Z26,Z27,Z28)</f>
        <v>0</v>
      </c>
      <c r="AC29" s="13">
        <f>SUM(AC7,AC8,AC9,AC10,AC12,AC13,AC14,AC15,AC16,AC17,AC18,AC19,AC20,AC21,AC22,AC23,AC24,AC25,AC26,AC27,AC28)</f>
        <v>380</v>
      </c>
      <c r="AD29" s="10">
        <f>SUM(AD7,AD8,AD9,AD10,AD12,AD13,AD14,AD15,AD16,AD17,AD18,AD19,AD20,AD21,AD22,AD23,AD24,AD25,AD26,AD27,AD28)</f>
        <v>0</v>
      </c>
      <c r="AE29" s="10">
        <f>SUM(AE7,AE8,AE9,AE10,AE12,AE13,AE14,AE15,AE16,AE17,AE18,AE19,AE20,AE21,AE22,AE23,AE24,AE25,AE26,AE27,AE28)</f>
        <v>17805.640000000003</v>
      </c>
      <c r="AF29" s="10">
        <f>SUM(AF7,AF8,AF9,AF10,AF12,AF13,AF14,AF15,AF16,AF17,AF18,AF19,AF20,AF21,AF22,AF23,AF24,AF25,AF26,AF27,AF28)</f>
        <v>2901.22</v>
      </c>
      <c r="AG29" s="10">
        <f>SUM(AG7,AG8,AG9,AG10,AG12,AG13,AG14,AG15,AG16,AG17,AG18,AG19,AG20,AG21,AG22,AG23,AG24,AG25,AG26,AG27,AG28)</f>
        <v>0</v>
      </c>
      <c r="AH29" s="10">
        <f>SUM(AH7,AH8,AH9,AH10,AH12,AH13,AH14,AH15,AH16,AH17,AH18,AH19,AH20,AH21,AH22,AH23,AH24,AH25,AH26,AH27,AH28)</f>
        <v>7975.73</v>
      </c>
      <c r="AI29" s="13">
        <f>SUM(AI7,AI8,AI9,AI10,AI12,AI13,AI14,AI15,AI16,AI17,AI18,AI19,AI20,AI21,AI22,AI23,AI24,AI25,AI26,AI27,AI28)</f>
        <v>380</v>
      </c>
      <c r="AJ29" s="12">
        <f>SUM(AJ7,AJ8,AJ9,AJ10,AJ12,AJ13,AJ14,AJ15,AJ16,AJ17,AJ18,AJ19,AJ20,AJ21,AJ22,AJ23,AJ24,AJ25,AJ26,AJ27,AJ28)</f>
        <v>0</v>
      </c>
    </row>
    <row r="31" spans="1:37" x14ac:dyDescent="0.25">
      <c r="F31" s="16"/>
    </row>
  </sheetData>
  <mergeCells count="3">
    <mergeCell ref="C1:F1"/>
    <mergeCell ref="C3:F3"/>
    <mergeCell ref="C2:F2"/>
  </mergeCells>
  <conditionalFormatting sqref="A7:AK28">
    <cfRule type="expression" dxfId="0" priority="1">
      <formula>$E8=$E7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macro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Yofredd Chirino</dc:creator>
  <cp:lastModifiedBy>Yofredd Chirino</cp:lastModifiedBy>
  <dcterms:created xsi:type="dcterms:W3CDTF">2024-03-19T13:56:39Z</dcterms:created>
  <dcterms:modified xsi:type="dcterms:W3CDTF">2024-03-20T22:58:03Z</dcterms:modified>
</cp:coreProperties>
</file>